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a\Downloads\IndiaIOT\"/>
    </mc:Choice>
  </mc:AlternateContent>
  <xr:revisionPtr revIDLastSave="0" documentId="13_ncr:1_{0948F4E4-2438-40CC-A1D8-421A1E504501}" xr6:coauthVersionLast="47" xr6:coauthVersionMax="47" xr10:uidLastSave="{00000000-0000-0000-0000-000000000000}"/>
  <bookViews>
    <workbookView xWindow="-108" yWindow="-108" windowWidth="23256" windowHeight="13176" activeTab="6" xr2:uid="{749DDCAD-9F93-4EBA-8566-DD28CB072959}"/>
  </bookViews>
  <sheets>
    <sheet name="MasterData" sheetId="1" r:id="rId1"/>
    <sheet name="Sheet6" sheetId="6" r:id="rId2"/>
    <sheet name="Forward Linkage" sheetId="13" r:id="rId3"/>
    <sheet name="Backward Linkage" sheetId="14" r:id="rId4"/>
    <sheet name="Sheet10" sheetId="10" r:id="rId5"/>
    <sheet name="Sheet2" sheetId="2" state="hidden" r:id="rId6"/>
    <sheet name="CLASSIFICATION" sheetId="5" r:id="rId7"/>
  </sheets>
  <definedNames>
    <definedName name="_xlnm._FilterDatabase" localSheetId="3" hidden="1">'Backward Linkage'!$A$1:$D$51</definedName>
    <definedName name="_xlnm._FilterDatabase" localSheetId="6" hidden="1">CLASSIFICATION!$A$1:$D$51</definedName>
    <definedName name="_xlnm._FilterDatabase" localSheetId="2" hidden="1">'Forward Linkage'!$A$1:$D$51</definedName>
    <definedName name="_xlnm._FilterDatabase" localSheetId="1" hidden="1">Sheet6!$A$1:$AA$53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6" l="1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B53" i="6"/>
  <c r="K51" i="2" a="1"/>
  <c r="K51" i="2" s="1"/>
  <c r="P3" i="2" a="1"/>
  <c r="P3" i="2"/>
  <c r="P4" i="2" a="1"/>
  <c r="P4" i="2"/>
  <c r="P5" i="2" a="1"/>
  <c r="P5" i="2"/>
  <c r="P6" i="2" a="1"/>
  <c r="P6" i="2"/>
  <c r="P7" i="2" a="1"/>
  <c r="P7" i="2"/>
  <c r="P8" i="2" a="1"/>
  <c r="P8" i="2"/>
  <c r="P9" i="2" a="1"/>
  <c r="P9" i="2"/>
  <c r="P10" i="2" a="1"/>
  <c r="P10" i="2"/>
  <c r="P11" i="2" a="1"/>
  <c r="P11" i="2"/>
  <c r="P12" i="2" a="1"/>
  <c r="P12" i="2"/>
  <c r="P13" i="2" a="1"/>
  <c r="P13" i="2"/>
  <c r="P14" i="2" a="1"/>
  <c r="P14" i="2"/>
  <c r="P15" i="2" a="1"/>
  <c r="P15" i="2"/>
  <c r="P16" i="2" a="1"/>
  <c r="P16" i="2"/>
  <c r="P17" i="2" a="1"/>
  <c r="P17" i="2"/>
  <c r="P18" i="2" a="1"/>
  <c r="P18" i="2"/>
  <c r="P19" i="2" a="1"/>
  <c r="P19" i="2"/>
  <c r="P20" i="2" a="1"/>
  <c r="P20" i="2"/>
  <c r="P21" i="2" a="1"/>
  <c r="P21" i="2"/>
  <c r="P22" i="2" a="1"/>
  <c r="P22" i="2"/>
  <c r="P23" i="2" a="1"/>
  <c r="P23" i="2"/>
  <c r="P24" i="2" a="1"/>
  <c r="P24" i="2"/>
  <c r="P25" i="2" a="1"/>
  <c r="P25" i="2"/>
  <c r="P26" i="2" a="1"/>
  <c r="P26" i="2"/>
  <c r="P27" i="2" a="1"/>
  <c r="P27" i="2"/>
  <c r="P28" i="2" a="1"/>
  <c r="P28" i="2"/>
  <c r="P29" i="2" a="1"/>
  <c r="P29" i="2"/>
  <c r="P30" i="2" a="1"/>
  <c r="P30" i="2" s="1"/>
  <c r="P31" i="2" a="1"/>
  <c r="P31" i="2" s="1"/>
  <c r="P32" i="2" a="1"/>
  <c r="P32" i="2"/>
  <c r="P33" i="2" a="1"/>
  <c r="P33" i="2"/>
  <c r="P34" i="2" a="1"/>
  <c r="P34" i="2"/>
  <c r="P35" i="2" a="1"/>
  <c r="P35" i="2"/>
  <c r="P36" i="2" a="1"/>
  <c r="P36" i="2"/>
  <c r="P37" i="2" a="1"/>
  <c r="P37" i="2"/>
  <c r="P38" i="2" a="1"/>
  <c r="P38" i="2"/>
  <c r="P39" i="2" a="1"/>
  <c r="P39" i="2"/>
  <c r="P40" i="2" a="1"/>
  <c r="P40" i="2"/>
  <c r="P41" i="2" a="1"/>
  <c r="P41" i="2"/>
  <c r="P42" i="2" a="1"/>
  <c r="P42" i="2"/>
  <c r="P43" i="2" a="1"/>
  <c r="P43" i="2"/>
  <c r="P44" i="2" a="1"/>
  <c r="P44" i="2" s="1"/>
  <c r="P45" i="2" a="1"/>
  <c r="P45" i="2"/>
  <c r="P46" i="2" a="1"/>
  <c r="P46" i="2"/>
  <c r="P47" i="2" a="1"/>
  <c r="P47" i="2"/>
  <c r="P48" i="2" a="1"/>
  <c r="P48" i="2"/>
  <c r="P49" i="2" a="1"/>
  <c r="P49" i="2"/>
  <c r="P50" i="2" a="1"/>
  <c r="P50" i="2"/>
  <c r="P51" i="2" a="1"/>
  <c r="P51" i="2"/>
  <c r="P2" i="2" a="1"/>
  <c r="P2" i="2" s="1"/>
  <c r="K2" i="2" a="1"/>
  <c r="K2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2" i="2"/>
  <c r="H2" i="2"/>
  <c r="K26" i="2" a="1"/>
  <c r="K26" i="2"/>
  <c r="K27" i="2" a="1"/>
  <c r="K27" i="2"/>
  <c r="K50" i="2" a="1"/>
  <c r="K50" i="2" s="1"/>
  <c r="F2" i="2" a="1"/>
  <c r="F2" i="2" s="1"/>
  <c r="J3" i="2"/>
  <c r="J4" i="2"/>
  <c r="K4" i="2" s="1" a="1"/>
  <c r="K4" i="2" s="1"/>
  <c r="J5" i="2"/>
  <c r="K5" i="2" s="1" a="1"/>
  <c r="K5" i="2" s="1"/>
  <c r="J6" i="2"/>
  <c r="K6" i="2" s="1" a="1"/>
  <c r="K6" i="2" s="1"/>
  <c r="J7" i="2"/>
  <c r="K7" i="2" s="1" a="1"/>
  <c r="K7" i="2" s="1"/>
  <c r="J8" i="2"/>
  <c r="K8" i="2" s="1" a="1"/>
  <c r="K8" i="2" s="1"/>
  <c r="J9" i="2"/>
  <c r="K9" i="2" s="1" a="1"/>
  <c r="K9" i="2" s="1"/>
  <c r="J10" i="2"/>
  <c r="K10" i="2" s="1" a="1"/>
  <c r="K10" i="2" s="1"/>
  <c r="J11" i="2"/>
  <c r="K11" i="2" s="1" a="1"/>
  <c r="K11" i="2" s="1"/>
  <c r="J12" i="2"/>
  <c r="K12" i="2" s="1" a="1"/>
  <c r="K12" i="2" s="1"/>
  <c r="J13" i="2"/>
  <c r="K13" i="2" s="1" a="1"/>
  <c r="K13" i="2" s="1"/>
  <c r="J14" i="2"/>
  <c r="K14" i="2" s="1" a="1"/>
  <c r="K14" i="2" s="1"/>
  <c r="J15" i="2"/>
  <c r="K15" i="2" s="1" a="1"/>
  <c r="K15" i="2" s="1"/>
  <c r="J16" i="2"/>
  <c r="J17" i="2"/>
  <c r="K17" i="2" s="1" a="1"/>
  <c r="K17" i="2" s="1"/>
  <c r="J18" i="2"/>
  <c r="K18" i="2" s="1" a="1"/>
  <c r="K18" i="2" s="1"/>
  <c r="J19" i="2"/>
  <c r="K19" i="2" s="1" a="1"/>
  <c r="K19" i="2" s="1"/>
  <c r="J20" i="2"/>
  <c r="K20" i="2" s="1" a="1"/>
  <c r="K20" i="2" s="1"/>
  <c r="J21" i="2"/>
  <c r="K21" i="2" s="1" a="1"/>
  <c r="K21" i="2" s="1"/>
  <c r="J22" i="2"/>
  <c r="K22" i="2" s="1" a="1"/>
  <c r="K22" i="2" s="1"/>
  <c r="J23" i="2"/>
  <c r="K23" i="2" s="1" a="1"/>
  <c r="K23" i="2" s="1"/>
  <c r="J24" i="2"/>
  <c r="K24" i="2" s="1" a="1"/>
  <c r="K24" i="2" s="1"/>
  <c r="J25" i="2"/>
  <c r="K25" i="2" s="1" a="1"/>
  <c r="K25" i="2" s="1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2" i="2"/>
  <c r="H3" i="2"/>
  <c r="K3" i="2" s="1" a="1"/>
  <c r="K3" i="2" s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K16" i="2" s="1" a="1"/>
  <c r="K16" i="2" s="1"/>
  <c r="H17" i="2"/>
  <c r="H18" i="2"/>
  <c r="H19" i="2"/>
  <c r="H20" i="2"/>
  <c r="H21" i="2"/>
  <c r="H22" i="2"/>
  <c r="H23" i="2"/>
  <c r="H24" i="2"/>
  <c r="H25" i="2"/>
  <c r="H26" i="2"/>
  <c r="H27" i="2"/>
  <c r="H28" i="2"/>
  <c r="K28" i="2" s="1" a="1"/>
  <c r="K28" i="2" s="1"/>
  <c r="H29" i="2"/>
  <c r="K29" i="2" s="1" a="1"/>
  <c r="K29" i="2" s="1"/>
  <c r="H30" i="2"/>
  <c r="K30" i="2" s="1" a="1"/>
  <c r="K30" i="2" s="1"/>
  <c r="H31" i="2"/>
  <c r="K31" i="2" s="1" a="1"/>
  <c r="K31" i="2" s="1"/>
  <c r="H32" i="2"/>
  <c r="K32" i="2" s="1" a="1"/>
  <c r="K32" i="2" s="1"/>
  <c r="H33" i="2"/>
  <c r="K33" i="2" s="1" a="1"/>
  <c r="K33" i="2" s="1"/>
  <c r="H34" i="2"/>
  <c r="K34" i="2" s="1" a="1"/>
  <c r="K34" i="2" s="1"/>
  <c r="H35" i="2"/>
  <c r="K35" i="2" s="1" a="1"/>
  <c r="K35" i="2" s="1"/>
  <c r="H36" i="2"/>
  <c r="K36" i="2" s="1" a="1"/>
  <c r="K36" i="2" s="1"/>
  <c r="H37" i="2"/>
  <c r="K37" i="2" s="1" a="1"/>
  <c r="K37" i="2" s="1"/>
  <c r="H38" i="2"/>
  <c r="K38" i="2" s="1" a="1"/>
  <c r="K38" i="2" s="1"/>
  <c r="H39" i="2"/>
  <c r="K39" i="2" s="1" a="1"/>
  <c r="K39" i="2" s="1"/>
  <c r="H40" i="2"/>
  <c r="K40" i="2" s="1" a="1"/>
  <c r="K40" i="2" s="1"/>
  <c r="H41" i="2"/>
  <c r="K41" i="2" s="1" a="1"/>
  <c r="K41" i="2" s="1"/>
  <c r="H42" i="2"/>
  <c r="K42" i="2" s="1" a="1"/>
  <c r="K42" i="2" s="1"/>
  <c r="H43" i="2"/>
  <c r="K43" i="2" s="1" a="1"/>
  <c r="K43" i="2" s="1"/>
  <c r="H44" i="2"/>
  <c r="K44" i="2" s="1" a="1"/>
  <c r="K44" i="2" s="1"/>
  <c r="H45" i="2"/>
  <c r="K45" i="2" s="1" a="1"/>
  <c r="K45" i="2" s="1"/>
  <c r="H46" i="2"/>
  <c r="K46" i="2" s="1" a="1"/>
  <c r="K46" i="2" s="1"/>
  <c r="H47" i="2"/>
  <c r="K47" i="2" s="1" a="1"/>
  <c r="K47" i="2" s="1"/>
  <c r="H48" i="2"/>
  <c r="K48" i="2" s="1" a="1"/>
  <c r="K48" i="2" s="1"/>
  <c r="H49" i="2"/>
  <c r="K49" i="2" s="1" a="1"/>
  <c r="K49" i="2" s="1"/>
  <c r="H50" i="2"/>
  <c r="H51" i="2"/>
  <c r="F3" i="2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47" i="2" a="1"/>
  <c r="F47" i="2" s="1"/>
  <c r="F48" i="2" a="1"/>
  <c r="F48" i="2" s="1"/>
  <c r="F49" i="2" a="1"/>
  <c r="F49" i="2" s="1"/>
  <c r="F50" i="2" a="1"/>
  <c r="F50" i="2" s="1"/>
  <c r="F51" i="2" a="1"/>
  <c r="F5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<sst xmlns="http://schemas.openxmlformats.org/spreadsheetml/2006/main" count="639" uniqueCount="95">
  <si>
    <t>Sector</t>
  </si>
  <si>
    <t>BLd_2010</t>
  </si>
  <si>
    <t>FLd_2010</t>
  </si>
  <si>
    <t>BLd_2011</t>
  </si>
  <si>
    <t>FLd_2011</t>
  </si>
  <si>
    <t>BLd_2012</t>
  </si>
  <si>
    <t>FLd_2012</t>
  </si>
  <si>
    <t>BLd_2013</t>
  </si>
  <si>
    <t>FLd_2013</t>
  </si>
  <si>
    <t>BLd_2014</t>
  </si>
  <si>
    <t>FLd_2014</t>
  </si>
  <si>
    <t>BLd_2015</t>
  </si>
  <si>
    <t>FLd_2015</t>
  </si>
  <si>
    <t>BLd_2016</t>
  </si>
  <si>
    <t>FLd_2016</t>
  </si>
  <si>
    <t>BLd_2017</t>
  </si>
  <si>
    <t>FLd_2017</t>
  </si>
  <si>
    <t>BLd_2018</t>
  </si>
  <si>
    <t>FLd_2018</t>
  </si>
  <si>
    <t>BLd_2019</t>
  </si>
  <si>
    <t>Fld_2019</t>
  </si>
  <si>
    <t>BLd_2020</t>
  </si>
  <si>
    <t>FLd_2020</t>
  </si>
  <si>
    <t>BLd_2021</t>
  </si>
  <si>
    <t>FLd_2021</t>
  </si>
  <si>
    <t>BLd_2022</t>
  </si>
  <si>
    <t>FLd_2022</t>
  </si>
  <si>
    <t>Agriculture and hunting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</si>
  <si>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</si>
  <si>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</si>
  <si>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</si>
  <si>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</si>
  <si>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</si>
  <si>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</si>
  <si>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 activities</t>
  </si>
  <si>
    <t>Food products, beverages and tobacco</t>
  </si>
  <si>
    <t>Textiles, textile products, leather and footwear</t>
  </si>
  <si>
    <t>Wood and products of wood and cork</t>
  </si>
  <si>
    <t>Paper products; printing and reproduction of recorded media</t>
  </si>
  <si>
    <t>Coke and refined petroleum products</t>
  </si>
  <si>
    <t>Chemical and chemical products</t>
  </si>
  <si>
    <t>Pharmaceuticals, medicinal chemical and botanical products</t>
  </si>
  <si>
    <t>Rubber and plastics products</t>
  </si>
  <si>
    <t>Other non-metallic mineral products</t>
  </si>
  <si>
    <t>Manufacture of basic iron and steel</t>
  </si>
  <si>
    <t>Manufacture of basic precious and other non-ferrous metals</t>
  </si>
  <si>
    <t>Fabricated metal products</t>
  </si>
  <si>
    <t>Computer, electronic and optical equipment</t>
  </si>
  <si>
    <t>Electrical equipment</t>
  </si>
  <si>
    <t xml:space="preserve">Machinery and equipment, nec </t>
  </si>
  <si>
    <t>Motor vehicles, trailers and semi-trailers</t>
  </si>
  <si>
    <t>Building of ships and boats</t>
  </si>
  <si>
    <t>Manufacture of other transport equipment</t>
  </si>
  <si>
    <t>Manufacturing nec; repair and installation of machinery and equipment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</si>
  <si>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</si>
  <si>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</si>
  <si>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</si>
  <si>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</si>
  <si>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</si>
  <si>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</si>
  <si>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</si>
  <si>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</si>
  <si>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</si>
  <si>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</si>
  <si>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Publishing, audiovisual and broadcasting activities</t>
  </si>
  <si>
    <t>Telecommunications</t>
  </si>
  <si>
    <t>IT and other information services</t>
  </si>
  <si>
    <t>Financial and insurance activities</t>
  </si>
  <si>
    <t>Real estate activities</t>
  </si>
  <si>
    <t>Professional, scientific and technical activities</t>
  </si>
  <si>
    <t>Administrative and support services</t>
  </si>
  <si>
    <t>Public administration and defence;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</si>
  <si>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</si>
  <si>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</si>
  <si>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</si>
  <si>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</si>
  <si>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employers; undifferentiated goods- and services-producing activities of households for own use</t>
  </si>
  <si>
    <t>Average</t>
  </si>
  <si>
    <t>Low</t>
  </si>
  <si>
    <t>High</t>
  </si>
  <si>
    <t>Classification</t>
  </si>
  <si>
    <t>Backward Linkage Class</t>
  </si>
  <si>
    <t>Forward Linkage Class</t>
  </si>
  <si>
    <t>Final Manufacture</t>
  </si>
  <si>
    <t>Final Primary Production</t>
  </si>
  <si>
    <t>Intermediate Primary Production</t>
  </si>
  <si>
    <t>Intermediate Manufacture</t>
  </si>
  <si>
    <t>Classification_2010</t>
  </si>
  <si>
    <t>Classification_2019</t>
  </si>
  <si>
    <t>Classification_2022</t>
  </si>
  <si>
    <t>Stddev</t>
  </si>
  <si>
    <t>AverageBLd</t>
  </si>
  <si>
    <t>AverageFLd</t>
  </si>
  <si>
    <t>SD BLd</t>
  </si>
  <si>
    <t>SD FLd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</si>
</sst>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2" borderId="0" xfId="1"/>
    <xf numFmtId="0" fontId="1" fillId="3" borderId="1" xfId="2" applyBorder="1" applyAlignment="1">
      <alignment wrapText="1"/>
    </xf>
    <xf numFmtId="0" fontId="1" fillId="2" borderId="1" xfId="1" applyBorder="1" applyAlignment="1">
      <alignment horizontal="center" wrapText="1"/>
    </xf>
    <xf numFmtId="0" fontId="1" fillId="2" borderId="1" xfId="1" applyBorder="1"/>
    <xf numFmtId="0" fontId="0" fillId="0" borderId="1" xfId="0" applyBorder="1"/>
    <xf numFmtId="0" fontId="1" fillId="2" borderId="0" xfId="1" applyBorder="1" applyAlignment="1">
      <alignment wrapText="1"/>
    </xf>
    <xf numFmtId="0" fontId="1" fillId="2" borderId="1" xfId="1" applyBorder="1" applyAlignment="1">
      <alignment wrapText="1"/>
    </xf>
    <xf numFmtId="0" fontId="1" fillId="2" borderId="0" xfId="1" applyAlignment="1">
      <alignment wrapText="1"/>
    </xf>
    <xf numFmtId="0" fontId="0" fillId="0" borderId="1" xfId="0" applyBorder="1" applyAlignment="1">
      <alignment wrapText="1"/>
    </xf>
  </cellXfs>
  <cellStyles count="3">
    <cellStyle name="Accent1" xfId="1" builtinId="29"/>
    <cellStyle name="Accent6" xfId="2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Sheet10!$B$1</c:f>
              <c:strCache>
                <c:ptCount val="1"/>
                <c:pt idx="0">
                  <c:v>AverageBLd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Sheet10!$A$2:$A$14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Sheet10!$B$2:$B$14</c:f>
              <c:numCache>
                <c:formatCode>General</c:formatCode>
                <c:ptCount val="13"/>
                <c:pt idx="0">
                  <c:v>1.7857326000000002</c:v>
                </c:pt>
                <c:pt idx="1">
                  <c:v>1.718736</c:v>
                </c:pt>
                <c:pt idx="2">
                  <c:v>1.6930512000000002</c:v>
                </c:pt>
                <c:pt idx="3">
                  <c:v>1.6975690000000001</c:v>
                </c:pt>
                <c:pt idx="4">
                  <c:v>1.7049313999999998</c:v>
                </c:pt>
                <c:pt idx="5">
                  <c:v>1.6645251999999999</c:v>
                </c:pt>
                <c:pt idx="6">
                  <c:v>1.6298069999999998</c:v>
                </c:pt>
                <c:pt idx="7">
                  <c:v>1.6790776000000003</c:v>
                </c:pt>
                <c:pt idx="8">
                  <c:v>1.6857830000000005</c:v>
                </c:pt>
                <c:pt idx="9">
                  <c:v>1.7043828000000003</c:v>
                </c:pt>
                <c:pt idx="10">
                  <c:v>1.6958772000000004</c:v>
                </c:pt>
                <c:pt idx="11">
                  <c:v>1.7033177999999998</c:v>
                </c:pt>
                <c:pt idx="12">
                  <c:v>1.6956262000000002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7E-4F89-96F5-FC4AE064EF7E}"/>
            </c:ext>
          </c:extLst>
        </c:ser>
        <c:ser>
          <c:idx val="1"/>
          <c:order val="1"/>
          <c:tx>
            <c:strRef>
              <c:f>Sheet10!$C$1</c:f>
              <c:strCache>
                <c:ptCount val="1"/>
                <c:pt idx="0">
                  <c:v>SD BLd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Sheet10!$A$2:$A$14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Sheet10!$C$2:$C$14</c:f>
              <c:numCache>
                <c:formatCode>General</c:formatCode>
                <c:ptCount val="13"/>
                <c:pt idx="0">
                  <c:v>0.31093970941524679</c:v>
                </c:pt>
                <c:pt idx="1">
                  <c:v>0.29631499278301782</c:v>
                </c:pt>
                <c:pt idx="2">
                  <c:v>0.30447121237082597</c:v>
                </c:pt>
                <c:pt idx="3">
                  <c:v>0.30467454696610285</c:v>
                </c:pt>
                <c:pt idx="4">
                  <c:v>0.3279040264346274</c:v>
                </c:pt>
                <c:pt idx="5">
                  <c:v>0.29524269108812812</c:v>
                </c:pt>
                <c:pt idx="6">
                  <c:v>0.2908049997180252</c:v>
                </c:pt>
                <c:pt idx="7">
                  <c:v>0.31353926676293348</c:v>
                </c:pt>
                <c:pt idx="8">
                  <c:v>0.32593896230582564</c:v>
                </c:pt>
                <c:pt idx="9">
                  <c:v>0.33683264047915368</c:v>
                </c:pt>
                <c:pt idx="10">
                  <c:v>0.33593350735548511</c:v>
                </c:pt>
                <c:pt idx="11">
                  <c:v>0.35074321806296116</c:v>
                </c:pt>
                <c:pt idx="12">
                  <c:v>0.36526985279866703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7E-4F89-96F5-FC4AE064EF7E}"/>
            </c:ext>
          </c:extLst>
        </c:ser>
        <c:ser>
          <c:idx val="2"/>
          <c:order val="2"/>
          <c:tx>
            <c:strRef>
              <c:f>Sheet10!$D$1</c:f>
              <c:strCache>
                <c:ptCount val="1"/>
                <c:pt idx="0">
                  <c:v>AverageFLd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Sheet10!$A$2:$A$14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Sheet10!$D$2:$D$14</c:f>
              <c:numCache>
                <c:formatCode>General</c:formatCode>
                <c:ptCount val="13"/>
                <c:pt idx="0">
                  <c:v>1.7857325999999998</c:v>
                </c:pt>
                <c:pt idx="1">
                  <c:v>1.7187352000000007</c:v>
                </c:pt>
                <c:pt idx="2">
                  <c:v>1.6930536000000003</c:v>
                </c:pt>
                <c:pt idx="3">
                  <c:v>1.6975676000000002</c:v>
                </c:pt>
                <c:pt idx="4">
                  <c:v>1.7049266000000003</c:v>
                </c:pt>
                <c:pt idx="5">
                  <c:v>1.6645247999999992</c:v>
                </c:pt>
                <c:pt idx="6">
                  <c:v>1.6298080000000001</c:v>
                </c:pt>
                <c:pt idx="7">
                  <c:v>1.6790772</c:v>
                </c:pt>
                <c:pt idx="8">
                  <c:v>1.6857824000000001</c:v>
                </c:pt>
                <c:pt idx="9">
                  <c:v>1.7043845999999996</c:v>
                </c:pt>
                <c:pt idx="10">
                  <c:v>1.6958763999999997</c:v>
                </c:pt>
                <c:pt idx="11">
                  <c:v>1.7033132000000006</c:v>
                </c:pt>
                <c:pt idx="12">
                  <c:v>1.6956255999999996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7E-4F89-96F5-FC4AE064EF7E}"/>
            </c:ext>
          </c:extLst>
        </c:ser>
        <c:ser>
          <c:idx val="3"/>
          <c:order val="3"/>
          <c:tx>
            <c:strRef>
              <c:f>Sheet10!$E$1</c:f>
              <c:strCache>
                <c:ptCount val="1"/>
                <c:pt idx="0">
                  <c:v>SD FLd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Sheet10!$A$2:$A$14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Sheet10!$E$2:$E$14</c:f>
              <c:numCache>
                <c:formatCode>General</c:formatCode>
                <c:ptCount val="13"/>
                <c:pt idx="0">
                  <c:v>0.98086244580942117</c:v>
                </c:pt>
                <c:pt idx="1">
                  <c:v>0.96966897285875731</c:v>
                </c:pt>
                <c:pt idx="2">
                  <c:v>0.89129222923294837</c:v>
                </c:pt>
                <c:pt idx="3">
                  <c:v>0.90130913609828611</c:v>
                </c:pt>
                <c:pt idx="4">
                  <c:v>0.8595155455292468</c:v>
                </c:pt>
                <c:pt idx="5">
                  <c:v>0.73624899438774283</c:v>
                </c:pt>
                <c:pt idx="6">
                  <c:v>0.64018116324053176</c:v>
                </c:pt>
                <c:pt idx="7">
                  <c:v>0.776371902008413</c:v>
                </c:pt>
                <c:pt idx="8">
                  <c:v>0.7727951886329516</c:v>
                </c:pt>
                <c:pt idx="9">
                  <c:v>0.80084744634221194</c:v>
                </c:pt>
                <c:pt idx="10">
                  <c:v>0.76054961978495583</c:v>
                </c:pt>
                <c:pt idx="11">
                  <c:v>0.77887284223919306</c:v>
                </c:pt>
                <c:pt idx="12">
                  <c:v>0.77604686989423521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7E-4F89-96F5-FC4AE064E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483614591"/>
        <c:axId val="1483618911"/>
      </c:lineChart>
      <c:catAx>
        <c:axId val="148361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618911"/>
        <c:crosses val="autoZero"/>
        <c:auto val="1"/>
        <c:lblAlgn val="ctr"/>
        <c:lblOffset val="100"/>
        <c:noMultiLvlLbl val="0"/>
      </c:catAx>
      <c:valAx>
        <c:axId val="148361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61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3</xdr:row>
      <xdr:rowOff>137160</xdr:rowOff>
    </xdr:from>
    <xdr:to>
      <xdr:col>17</xdr:col>
      <xdr:colOff>76200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8F8692-ACED-3007-59D9-093F27E10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594C-5850-48E8-944E-3DD8D82FDAA8}">
  <dimension ref="A1:AA52"/>
  <sheetViews>
    <sheetView topLeftCell="A46" zoomScale="80" zoomScaleNormal="80" workbookViewId="0">
      <selection activeCell="Z1" sqref="Z1:Z51"/>
    </sheetView>
  </sheetViews>
  <sheetFormatPr defaultRowHeight="14.4" x14ac:dyDescent="0.3"/>
  <cols>
    <col min="1" max="1" width="18" customWidth="1"/>
    <col min="2" max="2" width="10.88671875" customWidth="1"/>
  </cols>
  <sheetData>
    <row r="1" spans="1:27" x14ac:dyDescent="0.3">
      <c r="A1" s="7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ht="28.8" x14ac:dyDescent="0.3">
      <c r="A2" s="4" t="s">
        <v>27</v>
      </c>
      <c r="B2" s="2">
        <v>1.4685399999999997</v>
      </c>
      <c r="C2">
        <v>4.3651100000000005</v>
      </c>
      <c r="D2">
        <v>1.3549</v>
      </c>
      <c r="E2">
        <v>3.36165</v>
      </c>
      <c r="F2">
        <v>1.3435299999999999</v>
      </c>
      <c r="G2">
        <v>3.1171299999999995</v>
      </c>
      <c r="H2">
        <v>1.3462000000000001</v>
      </c>
      <c r="I2">
        <v>3.1281700000000003</v>
      </c>
      <c r="J2">
        <v>1.34673</v>
      </c>
      <c r="K2">
        <v>3.1377700000000006</v>
      </c>
      <c r="L2">
        <v>1.3562099999999999</v>
      </c>
      <c r="M2">
        <v>3.1536899999999992</v>
      </c>
      <c r="N2">
        <v>1.3207599999999999</v>
      </c>
      <c r="O2">
        <v>2.5602999999999989</v>
      </c>
      <c r="P2">
        <v>1.2746200000000001</v>
      </c>
      <c r="Q2">
        <v>2.53315</v>
      </c>
      <c r="R2">
        <v>1.26359</v>
      </c>
      <c r="S2">
        <v>2.4862199999999994</v>
      </c>
      <c r="T2">
        <v>1.2719499999999999</v>
      </c>
      <c r="U2">
        <v>2.6215799999999994</v>
      </c>
      <c r="V2">
        <v>1.27481</v>
      </c>
      <c r="W2">
        <v>2.6196700000000011</v>
      </c>
      <c r="X2">
        <v>1.2684899999999999</v>
      </c>
      <c r="Y2">
        <v>2.3997099999999998</v>
      </c>
      <c r="Z2">
        <v>1.2983800000000001</v>
      </c>
      <c r="AA2">
        <v>2.4005000000000014</v>
      </c>
    </row>
    <row r="3" spans="1:27" x14ac:dyDescent="0.3">
      <c r="A3" s="4" t="s">
        <v>28</v>
      </c>
      <c r="B3">
        <v>1.2562899999999999</v>
      </c>
      <c r="C3">
        <v>2.0109400000000002</v>
      </c>
      <c r="D3">
        <v>1.27105</v>
      </c>
      <c r="E3">
        <v>1.6017400000000004</v>
      </c>
      <c r="F3">
        <v>1.24912</v>
      </c>
      <c r="G3">
        <v>1.65648</v>
      </c>
      <c r="H3">
        <v>1.2342500000000001</v>
      </c>
      <c r="I3">
        <v>1.6655399999999994</v>
      </c>
      <c r="J3">
        <v>1.2437800000000001</v>
      </c>
      <c r="K3">
        <v>1.4319700000000004</v>
      </c>
      <c r="L3">
        <v>1.26806</v>
      </c>
      <c r="M3">
        <v>1.3848000000000007</v>
      </c>
      <c r="N3">
        <v>1.23935</v>
      </c>
      <c r="O3">
        <v>1.7318400000000007</v>
      </c>
      <c r="P3">
        <v>1.2256899999999999</v>
      </c>
      <c r="Q3">
        <v>1.7200800000000007</v>
      </c>
      <c r="R3">
        <v>1.2049799999999999</v>
      </c>
      <c r="S3">
        <v>1.6471800000000008</v>
      </c>
      <c r="T3">
        <v>1.22082</v>
      </c>
      <c r="U3">
        <v>1.72088</v>
      </c>
      <c r="V3">
        <v>1.1983999999999999</v>
      </c>
      <c r="W3">
        <v>2.1672400000000009</v>
      </c>
      <c r="X3">
        <v>1.18133</v>
      </c>
      <c r="Y3">
        <v>2.0072899999999998</v>
      </c>
      <c r="Z3">
        <v>1.2124600000000001</v>
      </c>
      <c r="AA3">
        <v>1.9837699999999994</v>
      </c>
    </row>
    <row r="4" spans="1:27" ht="28.8" x14ac:dyDescent="0.3">
      <c r="A4" s="4" t="s">
        <v>29</v>
      </c>
      <c r="B4">
        <v>1.3650000000000004</v>
      </c>
      <c r="C4">
        <v>1.1498099999999989</v>
      </c>
      <c r="D4">
        <v>1.19102</v>
      </c>
      <c r="E4">
        <v>1.0487699999999991</v>
      </c>
      <c r="F4">
        <v>1.15994</v>
      </c>
      <c r="G4">
        <v>1.0573500000000007</v>
      </c>
      <c r="H4">
        <v>1.1375</v>
      </c>
      <c r="I4">
        <v>1.0450499999999996</v>
      </c>
      <c r="J4">
        <v>1.1193599999999999</v>
      </c>
      <c r="K4">
        <v>1.0470399999999995</v>
      </c>
      <c r="L4">
        <v>1.10012</v>
      </c>
      <c r="M4">
        <v>1.0779600000000003</v>
      </c>
      <c r="N4">
        <v>1.1129500000000001</v>
      </c>
      <c r="O4">
        <v>1.0468700000000009</v>
      </c>
      <c r="P4">
        <v>1.17747</v>
      </c>
      <c r="Q4">
        <v>1.0508600000000001</v>
      </c>
      <c r="R4">
        <v>1.1636599999999999</v>
      </c>
      <c r="S4">
        <v>1.0484499999999997</v>
      </c>
      <c r="T4">
        <v>1.17665</v>
      </c>
      <c r="U4">
        <v>1.0556099999999997</v>
      </c>
      <c r="V4">
        <v>1.1934199999999999</v>
      </c>
      <c r="W4">
        <v>1.0965500000000006</v>
      </c>
      <c r="X4">
        <v>1.18085</v>
      </c>
      <c r="Y4">
        <v>1.0775200000000005</v>
      </c>
      <c r="Z4">
        <v>1.2021900000000001</v>
      </c>
      <c r="AA4">
        <v>1.0724800000000003</v>
      </c>
    </row>
    <row r="5" spans="1:27" ht="28.8" x14ac:dyDescent="0.3">
      <c r="A5" s="4" t="s">
        <v>30</v>
      </c>
      <c r="B5">
        <v>1.49719</v>
      </c>
      <c r="C5">
        <v>1.5292000000000001</v>
      </c>
      <c r="D5">
        <v>1.6324099999999999</v>
      </c>
      <c r="E5">
        <v>1.4566800000000009</v>
      </c>
      <c r="F5">
        <v>1.5994999999999999</v>
      </c>
      <c r="G5">
        <v>1.4640100000000005</v>
      </c>
      <c r="H5">
        <v>1.62636</v>
      </c>
      <c r="I5">
        <v>1.4282699999999997</v>
      </c>
      <c r="J5">
        <v>1.6176600000000001</v>
      </c>
      <c r="K5">
        <v>1.4564099999999991</v>
      </c>
      <c r="L5">
        <v>1.55267</v>
      </c>
      <c r="M5">
        <v>1.4684300000000003</v>
      </c>
      <c r="N5">
        <v>1.4985999999999999</v>
      </c>
      <c r="O5">
        <v>1.3907199999999991</v>
      </c>
      <c r="P5">
        <v>1.5297499999999999</v>
      </c>
      <c r="Q5">
        <v>1.4034199999999994</v>
      </c>
      <c r="R5">
        <v>1.4834700000000001</v>
      </c>
      <c r="S5">
        <v>1.4098000000000002</v>
      </c>
      <c r="T5">
        <v>1.51325</v>
      </c>
      <c r="U5">
        <v>1.4085900000000013</v>
      </c>
      <c r="V5">
        <v>1.5845400000000001</v>
      </c>
      <c r="W5">
        <v>1.412810000000001</v>
      </c>
      <c r="X5">
        <v>1.4518800000000001</v>
      </c>
      <c r="Y5">
        <v>1.3809699999999998</v>
      </c>
      <c r="Z5">
        <v>1.42611</v>
      </c>
      <c r="AA5">
        <v>1.3908999999999994</v>
      </c>
    </row>
    <row r="6" spans="1:27" ht="43.2" x14ac:dyDescent="0.3">
      <c r="A6" s="4" t="s">
        <v>31</v>
      </c>
      <c r="B6">
        <v>1.6392799999999998</v>
      </c>
      <c r="C6">
        <v>2.15036</v>
      </c>
      <c r="D6">
        <v>1.5864100000000001</v>
      </c>
      <c r="E6">
        <v>1.9912100000000004</v>
      </c>
      <c r="F6">
        <v>1.5826499999999999</v>
      </c>
      <c r="G6">
        <v>1.9353099999999999</v>
      </c>
      <c r="H6">
        <v>1.57867</v>
      </c>
      <c r="I6">
        <v>1.9555800000000001</v>
      </c>
      <c r="J6">
        <v>1.5176700000000001</v>
      </c>
      <c r="K6">
        <v>1.8187300000000006</v>
      </c>
      <c r="L6">
        <v>1.4503200000000001</v>
      </c>
      <c r="M6">
        <v>1.6957000000000004</v>
      </c>
      <c r="N6">
        <v>1.38368</v>
      </c>
      <c r="O6">
        <v>1.7633300000000007</v>
      </c>
      <c r="P6">
        <v>1.39222</v>
      </c>
      <c r="Q6">
        <v>1.3844200000000004</v>
      </c>
      <c r="R6">
        <v>1.27443</v>
      </c>
      <c r="S6">
        <v>1.3782200000000007</v>
      </c>
      <c r="T6">
        <v>1.2524</v>
      </c>
      <c r="U6">
        <v>1.3447300000000004</v>
      </c>
      <c r="V6">
        <v>1.30765</v>
      </c>
      <c r="W6">
        <v>1.4002600000000001</v>
      </c>
      <c r="X6">
        <v>1.2908999999999999</v>
      </c>
      <c r="Y6">
        <v>1.3395900000000009</v>
      </c>
      <c r="Z6">
        <v>1.30376</v>
      </c>
      <c r="AA6">
        <v>1.3254800000000004</v>
      </c>
    </row>
    <row r="7" spans="1:27" x14ac:dyDescent="0.3">
      <c r="A7" s="4" t="s">
        <v>32</v>
      </c>
      <c r="B7">
        <v>1.4739199999999997</v>
      </c>
      <c r="C7">
        <v>1.38504</v>
      </c>
      <c r="D7">
        <v>1.54677</v>
      </c>
      <c r="E7">
        <v>1.2675699999999994</v>
      </c>
      <c r="F7">
        <v>1.52393</v>
      </c>
      <c r="G7">
        <v>1.2923399999999998</v>
      </c>
      <c r="H7">
        <v>1.7212000000000001</v>
      </c>
      <c r="I7">
        <v>1.4378999999999995</v>
      </c>
      <c r="J7">
        <v>1.6767700000000001</v>
      </c>
      <c r="K7">
        <v>1.4981899999999995</v>
      </c>
      <c r="L7">
        <v>1.6914899999999999</v>
      </c>
      <c r="M7">
        <v>1.3974500000000003</v>
      </c>
      <c r="N7">
        <v>1.66683</v>
      </c>
      <c r="O7">
        <v>1.4899500000000006</v>
      </c>
      <c r="P7">
        <v>1.77074</v>
      </c>
      <c r="Q7">
        <v>1.6097800000000004</v>
      </c>
      <c r="R7">
        <v>1.7288699999999999</v>
      </c>
      <c r="S7">
        <v>1.5658299999999994</v>
      </c>
      <c r="T7">
        <v>1.7738100000000001</v>
      </c>
      <c r="U7">
        <v>1.5361</v>
      </c>
      <c r="V7">
        <v>1.6328100000000001</v>
      </c>
      <c r="W7">
        <v>1.6484199999999993</v>
      </c>
      <c r="X7">
        <v>1.5836699999999999</v>
      </c>
      <c r="Y7">
        <v>1.7124100000000004</v>
      </c>
      <c r="Z7">
        <v>1.6447499999999999</v>
      </c>
      <c r="AA7">
        <v>1.7281099999999998</v>
      </c>
    </row>
    <row r="8" spans="1:27" ht="28.8" x14ac:dyDescent="0.3">
      <c r="A8" s="4" t="s">
        <v>33</v>
      </c>
      <c r="B8">
        <v>1.61686</v>
      </c>
      <c r="C8">
        <v>1.0324500000000001</v>
      </c>
      <c r="D8">
        <v>1.55358</v>
      </c>
      <c r="E8">
        <v>1.0344599999999997</v>
      </c>
      <c r="F8">
        <v>1.56816</v>
      </c>
      <c r="G8">
        <v>1.0389500000000005</v>
      </c>
      <c r="H8">
        <v>1.7947200000000001</v>
      </c>
      <c r="I8">
        <v>1.0513700000000004</v>
      </c>
      <c r="J8">
        <v>1.75322</v>
      </c>
      <c r="K8">
        <v>1.0421800000000003</v>
      </c>
      <c r="L8">
        <v>1.6738599999999999</v>
      </c>
      <c r="M8">
        <v>1.0531000000000001</v>
      </c>
      <c r="N8">
        <v>1.63036</v>
      </c>
      <c r="O8">
        <v>1.1115200000000007</v>
      </c>
      <c r="P8">
        <v>1.7833000000000001</v>
      </c>
      <c r="Q8">
        <v>1.1073200000000003</v>
      </c>
      <c r="R8">
        <v>1.81775</v>
      </c>
      <c r="S8">
        <v>1.0949199999999999</v>
      </c>
      <c r="T8">
        <v>1.7640499999999999</v>
      </c>
      <c r="U8">
        <v>1.0822199999999993</v>
      </c>
      <c r="V8">
        <v>1.6313599999999999</v>
      </c>
      <c r="W8">
        <v>1.072550000000001</v>
      </c>
      <c r="X8">
        <v>1.5684199999999999</v>
      </c>
      <c r="Y8">
        <v>1.0859799999999999</v>
      </c>
      <c r="Z8">
        <v>1.5645800000000001</v>
      </c>
      <c r="AA8">
        <v>1.0904500000000006</v>
      </c>
    </row>
    <row r="9" spans="1:27" ht="28.8" x14ac:dyDescent="0.3">
      <c r="A9" s="4" t="s">
        <v>34</v>
      </c>
      <c r="B9">
        <v>1.2150200000000002</v>
      </c>
      <c r="C9">
        <v>1.4350100000000001</v>
      </c>
      <c r="D9">
        <v>1.1967000000000001</v>
      </c>
      <c r="E9">
        <v>1.3854200000000001</v>
      </c>
      <c r="F9">
        <v>1.16858</v>
      </c>
      <c r="G9">
        <v>1.3814500000000003</v>
      </c>
      <c r="H9">
        <v>1.1631800000000001</v>
      </c>
      <c r="I9">
        <v>1.3279000000000001</v>
      </c>
      <c r="J9">
        <v>1.2023299999999999</v>
      </c>
      <c r="K9">
        <v>1.4117099999999998</v>
      </c>
      <c r="L9">
        <v>1.3372299999999999</v>
      </c>
      <c r="M9">
        <v>1.49918</v>
      </c>
      <c r="N9">
        <v>1.28607</v>
      </c>
      <c r="O9">
        <v>1.5562200000000002</v>
      </c>
      <c r="P9">
        <v>1.2936300000000001</v>
      </c>
      <c r="Q9">
        <v>1.5772199999999998</v>
      </c>
      <c r="R9">
        <v>1.27406</v>
      </c>
      <c r="S9">
        <v>1.6264499999999995</v>
      </c>
      <c r="T9">
        <v>1.3352999999999999</v>
      </c>
      <c r="U9">
        <v>1.6525099999999999</v>
      </c>
      <c r="V9">
        <v>1.46329</v>
      </c>
      <c r="W9">
        <v>1.7277900000000004</v>
      </c>
      <c r="X9">
        <v>1.4426300000000001</v>
      </c>
      <c r="Y9">
        <v>1.6005399999999999</v>
      </c>
      <c r="Z9">
        <v>1.47621</v>
      </c>
      <c r="AA9">
        <v>1.6877000000000004</v>
      </c>
    </row>
    <row r="10" spans="1:27" ht="43.2" x14ac:dyDescent="0.3">
      <c r="A10" s="4" t="s">
        <v>35</v>
      </c>
      <c r="B10">
        <v>2.10216</v>
      </c>
      <c r="C10">
        <v>1.7926000000000011</v>
      </c>
      <c r="D10">
        <v>2.1418499999999998</v>
      </c>
      <c r="E10">
        <v>1.6714499999999994</v>
      </c>
      <c r="F10">
        <v>2.1135700000000002</v>
      </c>
      <c r="G10">
        <v>1.3967499999999999</v>
      </c>
      <c r="H10">
        <v>2.15232</v>
      </c>
      <c r="I10">
        <v>1.5396500000000004</v>
      </c>
      <c r="J10">
        <v>2.2023899999999998</v>
      </c>
      <c r="K10">
        <v>1.5606799999999994</v>
      </c>
      <c r="L10">
        <v>2.19191</v>
      </c>
      <c r="M10">
        <v>1.5051099999999991</v>
      </c>
      <c r="N10">
        <v>2.2582800000000001</v>
      </c>
      <c r="O10">
        <v>1.7472300000000003</v>
      </c>
      <c r="P10">
        <v>2.22105</v>
      </c>
      <c r="Q10">
        <v>1.5614299999999997</v>
      </c>
      <c r="R10">
        <v>2.2250100000000002</v>
      </c>
      <c r="S10">
        <v>1.5491699999999999</v>
      </c>
      <c r="T10">
        <v>2.2821899999999999</v>
      </c>
      <c r="U10">
        <v>1.5827499999999997</v>
      </c>
      <c r="V10">
        <v>2.1837900000000001</v>
      </c>
      <c r="W10">
        <v>1.8060900000000004</v>
      </c>
      <c r="X10">
        <v>2.2159300000000002</v>
      </c>
      <c r="Y10">
        <v>1.8195500000000009</v>
      </c>
      <c r="Z10">
        <v>2.23752</v>
      </c>
      <c r="AA10">
        <v>1.79616</v>
      </c>
    </row>
    <row r="11" spans="1:27" ht="43.2" x14ac:dyDescent="0.3">
      <c r="A11" s="4" t="s">
        <v>36</v>
      </c>
      <c r="B11">
        <v>2.2009900000000004</v>
      </c>
      <c r="C11">
        <v>1.7814900000000007</v>
      </c>
      <c r="D11">
        <v>2.1567799999999999</v>
      </c>
      <c r="E11">
        <v>1.7225499999999996</v>
      </c>
      <c r="F11">
        <v>2.1019700000000001</v>
      </c>
      <c r="G11">
        <v>1.6055799999999998</v>
      </c>
      <c r="H11">
        <v>2.1107300000000002</v>
      </c>
      <c r="I11">
        <v>1.8173700000000004</v>
      </c>
      <c r="J11">
        <v>2.1381399999999999</v>
      </c>
      <c r="K11">
        <v>1.8971000000000002</v>
      </c>
      <c r="L11">
        <v>2.0838700000000001</v>
      </c>
      <c r="M11">
        <v>1.9089899999999993</v>
      </c>
      <c r="N11">
        <v>2.0493000000000001</v>
      </c>
      <c r="O11">
        <v>1.8010199999999996</v>
      </c>
      <c r="P11">
        <v>2.0951200000000001</v>
      </c>
      <c r="Q11">
        <v>1.8027300000000011</v>
      </c>
      <c r="R11">
        <v>2.0831200000000001</v>
      </c>
      <c r="S11">
        <v>1.6606299999999998</v>
      </c>
      <c r="T11">
        <v>2.1044800000000001</v>
      </c>
      <c r="U11">
        <v>1.6240299999999996</v>
      </c>
      <c r="V11">
        <v>2.1107399999999998</v>
      </c>
      <c r="W11">
        <v>1.5427</v>
      </c>
      <c r="X11">
        <v>2.1415199999999999</v>
      </c>
      <c r="Y11">
        <v>1.6211</v>
      </c>
      <c r="Z11">
        <v>2.1797200000000001</v>
      </c>
      <c r="AA11">
        <v>1.6552900000000002</v>
      </c>
    </row>
    <row r="12" spans="1:27" ht="28.8" x14ac:dyDescent="0.3">
      <c r="A12" s="4" t="s">
        <v>37</v>
      </c>
      <c r="B12">
        <v>1.88083</v>
      </c>
      <c r="C12">
        <v>1.1451900000000008</v>
      </c>
      <c r="D12">
        <v>1.9114500000000001</v>
      </c>
      <c r="E12">
        <v>1.2953100000000004</v>
      </c>
      <c r="F12">
        <v>1.89272</v>
      </c>
      <c r="G12">
        <v>1.4874000000000005</v>
      </c>
      <c r="H12">
        <v>1.9474</v>
      </c>
      <c r="I12">
        <v>1.2406599999999997</v>
      </c>
      <c r="J12">
        <v>1.9396800000000001</v>
      </c>
      <c r="K12">
        <v>1.3969399999999998</v>
      </c>
      <c r="L12">
        <v>1.95661</v>
      </c>
      <c r="M12">
        <v>1.3960799999999995</v>
      </c>
      <c r="N12">
        <v>1.8619600000000001</v>
      </c>
      <c r="O12">
        <v>1.3503999999999998</v>
      </c>
      <c r="P12">
        <v>1.7376799999999999</v>
      </c>
      <c r="Q12">
        <v>1.3211900000000005</v>
      </c>
      <c r="R12">
        <v>1.6868799999999999</v>
      </c>
      <c r="S12">
        <v>1.5232899999999996</v>
      </c>
      <c r="T12">
        <v>1.6127</v>
      </c>
      <c r="U12">
        <v>1.38717</v>
      </c>
      <c r="V12">
        <v>1.53694</v>
      </c>
      <c r="W12">
        <v>1.2101499999999998</v>
      </c>
      <c r="X12">
        <v>1.5610900000000001</v>
      </c>
      <c r="Y12">
        <v>1.2041299999999993</v>
      </c>
      <c r="Z12">
        <v>1.5851900000000001</v>
      </c>
      <c r="AA12">
        <v>1.2002700000000002</v>
      </c>
    </row>
    <row r="13" spans="1:27" ht="57.6" x14ac:dyDescent="0.3">
      <c r="A13" s="4" t="s">
        <v>38</v>
      </c>
      <c r="B13">
        <v>2.1123099999999995</v>
      </c>
      <c r="C13">
        <v>2.0407299999999995</v>
      </c>
      <c r="D13">
        <v>2.1156199999999998</v>
      </c>
      <c r="E13">
        <v>2.1897300000000008</v>
      </c>
      <c r="F13">
        <v>2.1105200000000002</v>
      </c>
      <c r="G13">
        <v>2.04271</v>
      </c>
      <c r="H13">
        <v>2.0885899999999999</v>
      </c>
      <c r="I13">
        <v>1.8824699999999999</v>
      </c>
      <c r="J13">
        <v>2.2223700000000002</v>
      </c>
      <c r="K13">
        <v>2.0910000000000006</v>
      </c>
      <c r="L13">
        <v>2.0727699999999998</v>
      </c>
      <c r="M13">
        <v>2.0352599999999996</v>
      </c>
      <c r="N13">
        <v>1.96505</v>
      </c>
      <c r="O13">
        <v>1.72129</v>
      </c>
      <c r="P13">
        <v>1.9570399999999999</v>
      </c>
      <c r="Q13">
        <v>1.65754</v>
      </c>
      <c r="R13">
        <v>1.9776</v>
      </c>
      <c r="S13">
        <v>1.7517699999999998</v>
      </c>
      <c r="T13">
        <v>2.0646900000000001</v>
      </c>
      <c r="U13">
        <v>1.7290299999999998</v>
      </c>
      <c r="V13">
        <v>2.0377200000000002</v>
      </c>
      <c r="W13">
        <v>1.7157100000000001</v>
      </c>
      <c r="X13">
        <v>2.1458599999999999</v>
      </c>
      <c r="Y13">
        <v>1.8034600000000001</v>
      </c>
      <c r="Z13">
        <v>2.1641300000000001</v>
      </c>
      <c r="AA13">
        <v>1.8449500000000001</v>
      </c>
    </row>
    <row r="14" spans="1:27" ht="28.8" x14ac:dyDescent="0.3">
      <c r="A14" s="4" t="s">
        <v>39</v>
      </c>
      <c r="B14">
        <v>1.6947400000000006</v>
      </c>
      <c r="C14">
        <v>5.3925599999999996</v>
      </c>
      <c r="D14">
        <v>1.6154500000000001</v>
      </c>
      <c r="E14">
        <v>6.2016600000000013</v>
      </c>
      <c r="F14">
        <v>1.4274500000000001</v>
      </c>
      <c r="G14">
        <v>5.5006799999999991</v>
      </c>
      <c r="H14">
        <v>1.4036599999999999</v>
      </c>
      <c r="I14">
        <v>5.5046399999999984</v>
      </c>
      <c r="J14">
        <v>1.3497600000000001</v>
      </c>
      <c r="K14">
        <v>4.7438500000000001</v>
      </c>
      <c r="L14">
        <v>1.4178299999999999</v>
      </c>
      <c r="M14">
        <v>3.1643499999999989</v>
      </c>
      <c r="N14">
        <v>1.4680800000000001</v>
      </c>
      <c r="O14">
        <v>3.1410400000000003</v>
      </c>
      <c r="P14">
        <v>1.3303199999999999</v>
      </c>
      <c r="Q14">
        <v>2.7581600000000006</v>
      </c>
      <c r="R14">
        <v>1.30603</v>
      </c>
      <c r="S14">
        <v>3.1983500000000005</v>
      </c>
      <c r="T14">
        <v>1.24366</v>
      </c>
      <c r="U14">
        <v>3.0118600000000009</v>
      </c>
      <c r="V14">
        <v>1.3781000000000001</v>
      </c>
      <c r="W14">
        <v>2.6568299999999994</v>
      </c>
      <c r="X14">
        <v>1.36589</v>
      </c>
      <c r="Y14">
        <v>3.1318400000000013</v>
      </c>
      <c r="Z14">
        <v>1.27149</v>
      </c>
      <c r="AA14">
        <v>2.8101600000000002</v>
      </c>
    </row>
    <row r="15" spans="1:27" ht="28.8" x14ac:dyDescent="0.3">
      <c r="A15" s="4" t="s">
        <v>40</v>
      </c>
      <c r="B15">
        <v>2.0628400000000009</v>
      </c>
      <c r="C15">
        <v>2.4739899999999997</v>
      </c>
      <c r="D15">
        <v>2.0472299999999999</v>
      </c>
      <c r="E15">
        <v>2.6078799999999998</v>
      </c>
      <c r="F15">
        <v>1.9783500000000001</v>
      </c>
      <c r="G15">
        <v>2.5366500000000007</v>
      </c>
      <c r="H15">
        <v>1.9913799999999999</v>
      </c>
      <c r="I15">
        <v>2.4841799999999994</v>
      </c>
      <c r="J15">
        <v>2.0270800000000002</v>
      </c>
      <c r="K15">
        <v>2.741359999999998</v>
      </c>
      <c r="L15">
        <v>1.92204</v>
      </c>
      <c r="M15">
        <v>2.8419600000000007</v>
      </c>
      <c r="N15">
        <v>1.8317399999999999</v>
      </c>
      <c r="O15">
        <v>2.6516999999999995</v>
      </c>
      <c r="P15">
        <v>1.82721</v>
      </c>
      <c r="Q15">
        <v>2.6967600000000003</v>
      </c>
      <c r="R15">
        <v>1.89716</v>
      </c>
      <c r="S15">
        <v>2.6179600000000001</v>
      </c>
      <c r="T15">
        <v>2.0068199999999998</v>
      </c>
      <c r="U15">
        <v>2.66161</v>
      </c>
      <c r="V15">
        <v>2.0474700000000001</v>
      </c>
      <c r="W15">
        <v>2.5601900000000009</v>
      </c>
      <c r="X15">
        <v>2.05579</v>
      </c>
      <c r="Y15">
        <v>2.5686499999999994</v>
      </c>
      <c r="Z15">
        <v>1.9686999999999999</v>
      </c>
      <c r="AA15">
        <v>2.5812000000000008</v>
      </c>
    </row>
    <row r="16" spans="1:27" ht="57.6" x14ac:dyDescent="0.3">
      <c r="A16" s="4" t="s">
        <v>41</v>
      </c>
      <c r="B16">
        <v>1.9141500000000002</v>
      </c>
      <c r="C16">
        <v>1.6103699999999999</v>
      </c>
      <c r="D16">
        <v>1.8622099999999999</v>
      </c>
      <c r="E16">
        <v>1.6818799999999994</v>
      </c>
      <c r="F16">
        <v>1.8771800000000001</v>
      </c>
      <c r="G16">
        <v>1.59782</v>
      </c>
      <c r="H16">
        <v>1.8474200000000001</v>
      </c>
      <c r="I16">
        <v>1.5680999999999996</v>
      </c>
      <c r="J16">
        <v>1.8591</v>
      </c>
      <c r="K16">
        <v>1.5919100000000004</v>
      </c>
      <c r="L16">
        <v>1.7923</v>
      </c>
      <c r="M16">
        <v>1.6720199999999996</v>
      </c>
      <c r="N16">
        <v>1.67781</v>
      </c>
      <c r="O16">
        <v>1.5765100000000001</v>
      </c>
      <c r="P16">
        <v>1.7411099999999999</v>
      </c>
      <c r="Q16">
        <v>1.5171899999999998</v>
      </c>
      <c r="R16">
        <v>1.88947</v>
      </c>
      <c r="S16">
        <v>1.4272800000000001</v>
      </c>
      <c r="T16">
        <v>2.0752799999999998</v>
      </c>
      <c r="U16">
        <v>1.3167499999999994</v>
      </c>
      <c r="V16">
        <v>2.0421399999999998</v>
      </c>
      <c r="W16">
        <v>1.3583800000000001</v>
      </c>
      <c r="X16">
        <v>2.0804100000000001</v>
      </c>
      <c r="Y16">
        <v>1.3542300000000003</v>
      </c>
      <c r="Z16">
        <v>2.1252499999999999</v>
      </c>
      <c r="AA16">
        <v>1.3714600000000006</v>
      </c>
    </row>
    <row r="17" spans="1:27" ht="28.8" x14ac:dyDescent="0.3">
      <c r="A17" s="4" t="s">
        <v>42</v>
      </c>
      <c r="B17">
        <v>2.01294</v>
      </c>
      <c r="C17">
        <v>1.5829900000000006</v>
      </c>
      <c r="D17">
        <v>2.09849</v>
      </c>
      <c r="E17">
        <v>1.5505499999999999</v>
      </c>
      <c r="F17">
        <v>2.1274199999999999</v>
      </c>
      <c r="G17">
        <v>1.5876000000000003</v>
      </c>
      <c r="H17">
        <v>2.1378400000000002</v>
      </c>
      <c r="I17">
        <v>1.7716299999999998</v>
      </c>
      <c r="J17">
        <v>2.1250300000000002</v>
      </c>
      <c r="K17">
        <v>1.60046</v>
      </c>
      <c r="L17">
        <v>2.0023</v>
      </c>
      <c r="M17">
        <v>1.6303699999999994</v>
      </c>
      <c r="N17">
        <v>1.77799</v>
      </c>
      <c r="O17">
        <v>1.7455199999999997</v>
      </c>
      <c r="P17">
        <v>1.93414</v>
      </c>
      <c r="Q17">
        <v>1.5982600000000005</v>
      </c>
      <c r="R17">
        <v>2.08203</v>
      </c>
      <c r="S17">
        <v>1.5820699999999992</v>
      </c>
      <c r="T17">
        <v>2.2176900000000002</v>
      </c>
      <c r="U17">
        <v>1.5832399999999998</v>
      </c>
      <c r="V17">
        <v>2.14757</v>
      </c>
      <c r="W17">
        <v>1.73177</v>
      </c>
      <c r="X17">
        <v>2.1849400000000001</v>
      </c>
      <c r="Y17">
        <v>1.7449500000000002</v>
      </c>
      <c r="Z17">
        <v>2.1639300000000001</v>
      </c>
      <c r="AA17">
        <v>1.7440300000000006</v>
      </c>
    </row>
    <row r="18" spans="1:27" ht="28.8" x14ac:dyDescent="0.3">
      <c r="A18" s="4" t="s">
        <v>43</v>
      </c>
      <c r="B18">
        <v>1.8455900000000007</v>
      </c>
      <c r="C18">
        <v>1.4045499999999997</v>
      </c>
      <c r="D18">
        <v>1.7383599999999999</v>
      </c>
      <c r="E18">
        <v>1.5217999999999996</v>
      </c>
      <c r="F18">
        <v>1.73499</v>
      </c>
      <c r="G18">
        <v>1.6157900000000003</v>
      </c>
      <c r="H18">
        <v>1.7673099999999999</v>
      </c>
      <c r="I18">
        <v>1.50526</v>
      </c>
      <c r="J18">
        <v>1.71038</v>
      </c>
      <c r="K18">
        <v>1.4081900000000005</v>
      </c>
      <c r="L18">
        <v>1.7424500000000001</v>
      </c>
      <c r="M18">
        <v>1.44899</v>
      </c>
      <c r="N18">
        <v>1.76546</v>
      </c>
      <c r="O18">
        <v>1.4589699999999997</v>
      </c>
      <c r="P18">
        <v>1.68144</v>
      </c>
      <c r="Q18">
        <v>1.6917899999999995</v>
      </c>
      <c r="R18">
        <v>1.80847</v>
      </c>
      <c r="S18">
        <v>1.71818</v>
      </c>
      <c r="T18">
        <v>1.8728800000000001</v>
      </c>
      <c r="U18">
        <v>1.6967800000000004</v>
      </c>
      <c r="V18">
        <v>1.8701700000000001</v>
      </c>
      <c r="W18">
        <v>1.6953100000000005</v>
      </c>
      <c r="X18">
        <v>1.8688499999999999</v>
      </c>
      <c r="Y18">
        <v>1.6927200000000002</v>
      </c>
      <c r="Z18">
        <v>1.8503099999999999</v>
      </c>
      <c r="AA18">
        <v>1.6572299999999998</v>
      </c>
    </row>
    <row r="19" spans="1:27" ht="28.8" x14ac:dyDescent="0.3">
      <c r="A19" s="4" t="s">
        <v>44</v>
      </c>
      <c r="B19">
        <v>1.9941600000000002</v>
      </c>
      <c r="C19">
        <v>3.2862700000000005</v>
      </c>
      <c r="D19">
        <v>1.7341599999999999</v>
      </c>
      <c r="E19">
        <v>3.1530099999999992</v>
      </c>
      <c r="F19">
        <v>1.7508600000000001</v>
      </c>
      <c r="G19">
        <v>3.25664</v>
      </c>
      <c r="H19">
        <v>1.8319099999999999</v>
      </c>
      <c r="I19">
        <v>3.3685900000000002</v>
      </c>
      <c r="J19">
        <v>1.9012500000000001</v>
      </c>
      <c r="K19">
        <v>3.3077600000000005</v>
      </c>
      <c r="L19">
        <v>1.8500799999999999</v>
      </c>
      <c r="M19">
        <v>2.78931</v>
      </c>
      <c r="N19">
        <v>1.9178999999999999</v>
      </c>
      <c r="O19">
        <v>2.4777099999999992</v>
      </c>
      <c r="P19">
        <v>2.0089000000000001</v>
      </c>
      <c r="Q19">
        <v>3.8161899999999997</v>
      </c>
      <c r="R19">
        <v>2.1279400000000002</v>
      </c>
      <c r="S19">
        <v>3.9947999999999988</v>
      </c>
      <c r="T19">
        <v>2.1673399999999998</v>
      </c>
      <c r="U19">
        <v>3.9828399999999995</v>
      </c>
      <c r="V19">
        <v>2.1583000000000001</v>
      </c>
      <c r="W19">
        <v>4.149989999999999</v>
      </c>
      <c r="X19">
        <v>2.13747</v>
      </c>
      <c r="Y19">
        <v>4.5850000000000026</v>
      </c>
      <c r="Z19">
        <v>2.2127699999999999</v>
      </c>
      <c r="AA19">
        <v>4.6667599999999991</v>
      </c>
    </row>
    <row r="20" spans="1:27" ht="43.2" x14ac:dyDescent="0.3">
      <c r="A20" s="4" t="s">
        <v>45</v>
      </c>
      <c r="B20">
        <v>1.5694600000000003</v>
      </c>
      <c r="C20">
        <v>2.0396200000000007</v>
      </c>
      <c r="D20">
        <v>1.8543400000000001</v>
      </c>
      <c r="E20">
        <v>1.38845</v>
      </c>
      <c r="F20">
        <v>2.0274200000000002</v>
      </c>
      <c r="G20">
        <v>2.1122700000000001</v>
      </c>
      <c r="H20">
        <v>2.05159</v>
      </c>
      <c r="I20">
        <v>1.6378300000000001</v>
      </c>
      <c r="J20">
        <v>1.87982</v>
      </c>
      <c r="K20">
        <v>1.8224800000000005</v>
      </c>
      <c r="L20">
        <v>1.83355</v>
      </c>
      <c r="M20">
        <v>1.6344299999999996</v>
      </c>
      <c r="N20">
        <v>1.6319900000000001</v>
      </c>
      <c r="O20">
        <v>1.6102500000000002</v>
      </c>
      <c r="P20">
        <v>1.66299</v>
      </c>
      <c r="Q20">
        <v>1.8200399999999999</v>
      </c>
      <c r="R20">
        <v>1.8043</v>
      </c>
      <c r="S20">
        <v>1.86083</v>
      </c>
      <c r="T20">
        <v>1.8063199999999999</v>
      </c>
      <c r="U20">
        <v>1.7352799999999999</v>
      </c>
      <c r="V20">
        <v>1.91757</v>
      </c>
      <c r="W20">
        <v>1.9189800000000001</v>
      </c>
      <c r="X20">
        <v>1.8415900000000001</v>
      </c>
      <c r="Y20">
        <v>2.0567099999999994</v>
      </c>
      <c r="Z20">
        <v>1.9331400000000001</v>
      </c>
      <c r="AA20">
        <v>2.0452799999999995</v>
      </c>
    </row>
    <row r="21" spans="1:27" ht="28.8" x14ac:dyDescent="0.3">
      <c r="A21" s="4" t="s">
        <v>46</v>
      </c>
      <c r="B21">
        <v>2.0559699999999994</v>
      </c>
      <c r="C21">
        <v>1.5833200000000001</v>
      </c>
      <c r="D21">
        <v>1.6052500000000001</v>
      </c>
      <c r="E21">
        <v>1.6526299999999998</v>
      </c>
      <c r="F21">
        <v>1.5972599999999999</v>
      </c>
      <c r="G21">
        <v>1.9827600000000005</v>
      </c>
      <c r="H21">
        <v>1.7417</v>
      </c>
      <c r="I21">
        <v>1.7030899999999995</v>
      </c>
      <c r="J21">
        <v>2.0291800000000002</v>
      </c>
      <c r="K21">
        <v>1.7556899999999998</v>
      </c>
      <c r="L21">
        <v>1.7382500000000001</v>
      </c>
      <c r="M21">
        <v>1.6893999999999998</v>
      </c>
      <c r="N21">
        <v>1.9211199999999999</v>
      </c>
      <c r="O21">
        <v>1.7882700000000002</v>
      </c>
      <c r="P21">
        <v>2.0194000000000001</v>
      </c>
      <c r="Q21">
        <v>1.6687800000000002</v>
      </c>
      <c r="R21">
        <v>2.0567099999999998</v>
      </c>
      <c r="S21">
        <v>1.5865600000000002</v>
      </c>
      <c r="T21">
        <v>2.1117699999999999</v>
      </c>
      <c r="U21">
        <v>1.9247999999999998</v>
      </c>
      <c r="V21">
        <v>2.13931</v>
      </c>
      <c r="W21">
        <v>1.6245299999999996</v>
      </c>
      <c r="X21">
        <v>2.1566000000000001</v>
      </c>
      <c r="Y21">
        <v>1.6503899999999996</v>
      </c>
      <c r="Z21">
        <v>2.21977</v>
      </c>
      <c r="AA21">
        <v>1.6177500000000005</v>
      </c>
    </row>
    <row r="22" spans="1:27" ht="43.2" x14ac:dyDescent="0.3">
      <c r="A22" s="4" t="s">
        <v>47</v>
      </c>
      <c r="B22">
        <v>2.0426099999999994</v>
      </c>
      <c r="C22">
        <v>1.356580000000001</v>
      </c>
      <c r="D22">
        <v>1.9069700000000001</v>
      </c>
      <c r="E22">
        <v>1.2209100000000006</v>
      </c>
      <c r="F22">
        <v>1.97384</v>
      </c>
      <c r="G22">
        <v>1.21638</v>
      </c>
      <c r="H22">
        <v>1.9630700000000001</v>
      </c>
      <c r="I22">
        <v>1.1552399999999996</v>
      </c>
      <c r="J22">
        <v>2.01417</v>
      </c>
      <c r="K22">
        <v>1.1245599999999993</v>
      </c>
      <c r="L22">
        <v>1.9123000000000001</v>
      </c>
      <c r="M22">
        <v>1.1838499999999998</v>
      </c>
      <c r="N22">
        <v>1.80135</v>
      </c>
      <c r="O22">
        <v>1.3275299999999997</v>
      </c>
      <c r="P22">
        <v>2.0762499999999999</v>
      </c>
      <c r="Q22">
        <v>1.2910199999999996</v>
      </c>
      <c r="R22">
        <v>1.9479200000000001</v>
      </c>
      <c r="S22">
        <v>1.40239</v>
      </c>
      <c r="T22">
        <v>1.9578100000000001</v>
      </c>
      <c r="U22">
        <v>1.1815100000000007</v>
      </c>
      <c r="V22">
        <v>1.82321</v>
      </c>
      <c r="W22">
        <v>1.1607200000000002</v>
      </c>
      <c r="X22">
        <v>1.8853899999999999</v>
      </c>
      <c r="Y22">
        <v>1.1530100000000001</v>
      </c>
      <c r="Z22">
        <v>1.901</v>
      </c>
      <c r="AA22">
        <v>1.1245000000000005</v>
      </c>
    </row>
    <row r="23" spans="1:27" x14ac:dyDescent="0.3">
      <c r="A23" s="4" t="s">
        <v>48</v>
      </c>
      <c r="B23">
        <v>2.1331200000000003</v>
      </c>
      <c r="C23">
        <v>1.3706699999999996</v>
      </c>
      <c r="D23">
        <v>2.0193699999999999</v>
      </c>
      <c r="E23">
        <v>1.3423100000000003</v>
      </c>
      <c r="F23">
        <v>2.10371</v>
      </c>
      <c r="G23">
        <v>1.3151999999999993</v>
      </c>
      <c r="H23">
        <v>2.0774400000000002</v>
      </c>
      <c r="I23">
        <v>1.2998800000000001</v>
      </c>
      <c r="J23">
        <v>2.0751300000000001</v>
      </c>
      <c r="K23">
        <v>1.3790900000000001</v>
      </c>
      <c r="L23">
        <v>1.9949699999999999</v>
      </c>
      <c r="M23">
        <v>1.2964599999999993</v>
      </c>
      <c r="N23">
        <v>1.9440599999999999</v>
      </c>
      <c r="O23">
        <v>1.4384100000000002</v>
      </c>
      <c r="P23">
        <v>2.0197099999999999</v>
      </c>
      <c r="Q23">
        <v>1.3505799999999997</v>
      </c>
      <c r="R23">
        <v>1.98003</v>
      </c>
      <c r="S23">
        <v>1.3077200000000002</v>
      </c>
      <c r="T23">
        <v>2.0328400000000002</v>
      </c>
      <c r="U23">
        <v>1.3643399999999997</v>
      </c>
      <c r="V23">
        <v>2.1075900000000001</v>
      </c>
      <c r="W23">
        <v>1.34693</v>
      </c>
      <c r="X23">
        <v>2.1651400000000001</v>
      </c>
      <c r="Y23">
        <v>1.3615699999999999</v>
      </c>
      <c r="Z23">
        <v>2.18554</v>
      </c>
      <c r="AA23">
        <v>1.3320900000000002</v>
      </c>
    </row>
    <row r="24" spans="1:27" ht="28.8" x14ac:dyDescent="0.3">
      <c r="A24" s="4" t="s">
        <v>49</v>
      </c>
      <c r="B24">
        <v>2.0320400000000003</v>
      </c>
      <c r="C24">
        <v>1.4218</v>
      </c>
      <c r="D24">
        <v>1.91082</v>
      </c>
      <c r="E24">
        <v>1.4394200000000004</v>
      </c>
      <c r="F24">
        <v>1.92184</v>
      </c>
      <c r="G24">
        <v>1.3497000000000006</v>
      </c>
      <c r="H24">
        <v>1.9432100000000001</v>
      </c>
      <c r="I24">
        <v>1.3012600000000003</v>
      </c>
      <c r="J24">
        <v>2.01999</v>
      </c>
      <c r="K24">
        <v>1.3066100000000003</v>
      </c>
      <c r="L24">
        <v>1.94157</v>
      </c>
      <c r="M24">
        <v>1.33613</v>
      </c>
      <c r="N24">
        <v>1.96696</v>
      </c>
      <c r="O24">
        <v>1.4570800000000002</v>
      </c>
      <c r="P24">
        <v>1.95723</v>
      </c>
      <c r="Q24">
        <v>1.3599199999999996</v>
      </c>
      <c r="R24">
        <v>1.9228400000000001</v>
      </c>
      <c r="S24">
        <v>1.3740799999999995</v>
      </c>
      <c r="T24">
        <v>1.98871</v>
      </c>
      <c r="U24">
        <v>1.42265</v>
      </c>
      <c r="V24">
        <v>2.0427</v>
      </c>
      <c r="W24">
        <v>1.42733</v>
      </c>
      <c r="X24">
        <v>2.0775299999999999</v>
      </c>
      <c r="Y24">
        <v>1.4221299999999997</v>
      </c>
      <c r="Z24">
        <v>2.1355300000000002</v>
      </c>
      <c r="AA24">
        <v>1.3608200000000001</v>
      </c>
    </row>
    <row r="25" spans="1:27" ht="43.2" x14ac:dyDescent="0.3">
      <c r="A25" s="4" t="s">
        <v>50</v>
      </c>
      <c r="B25">
        <v>2.2528599999999996</v>
      </c>
      <c r="C25">
        <v>1.2302799999999998</v>
      </c>
      <c r="D25">
        <v>2.0724399999999998</v>
      </c>
      <c r="E25">
        <v>1.3674600000000001</v>
      </c>
      <c r="F25">
        <v>2.09131</v>
      </c>
      <c r="G25">
        <v>1.27725</v>
      </c>
      <c r="H25">
        <v>2.0172099999999999</v>
      </c>
      <c r="I25">
        <v>1.2508799999999995</v>
      </c>
      <c r="J25">
        <v>2.18153</v>
      </c>
      <c r="K25">
        <v>1.2105700000000001</v>
      </c>
      <c r="L25">
        <v>2.0783900000000002</v>
      </c>
      <c r="M25">
        <v>1.2710900000000001</v>
      </c>
      <c r="N25">
        <v>2.10005</v>
      </c>
      <c r="O25">
        <v>1.8189700000000002</v>
      </c>
      <c r="P25">
        <v>2.2047500000000002</v>
      </c>
      <c r="Q25">
        <v>1.5333200000000005</v>
      </c>
      <c r="R25">
        <v>2.2580200000000001</v>
      </c>
      <c r="S25">
        <v>1.5409100000000004</v>
      </c>
      <c r="T25">
        <v>2.2404500000000001</v>
      </c>
      <c r="U25">
        <v>1.4825099999999998</v>
      </c>
      <c r="V25">
        <v>2.38158</v>
      </c>
      <c r="W25">
        <v>1.7388199999999996</v>
      </c>
      <c r="X25">
        <v>2.40279</v>
      </c>
      <c r="Y25">
        <v>1.80063</v>
      </c>
      <c r="Z25">
        <v>2.4226800000000002</v>
      </c>
      <c r="AA25">
        <v>1.7670699999999999</v>
      </c>
    </row>
    <row r="26" spans="1:27" ht="28.8" x14ac:dyDescent="0.3">
      <c r="A26" s="4" t="s">
        <v>51</v>
      </c>
      <c r="B26">
        <v>1.4783200000000001</v>
      </c>
      <c r="C26">
        <v>1.0673500000000005</v>
      </c>
      <c r="D26">
        <v>1.49342</v>
      </c>
      <c r="E26">
        <v>1.02481</v>
      </c>
      <c r="F26">
        <v>1.7472099999999999</v>
      </c>
      <c r="G26">
        <v>1.0210400000000004</v>
      </c>
      <c r="H26">
        <v>1.5414000000000001</v>
      </c>
      <c r="I26">
        <v>1.0101399999999996</v>
      </c>
      <c r="J26">
        <v>1.37957</v>
      </c>
      <c r="K26">
        <v>1.0058500000000001</v>
      </c>
      <c r="L26">
        <v>1.2713300000000001</v>
      </c>
      <c r="M26">
        <v>1.0205999999999997</v>
      </c>
      <c r="N26">
        <v>1.45983</v>
      </c>
      <c r="O26">
        <v>1.0423299999999998</v>
      </c>
      <c r="P26">
        <v>2.11571</v>
      </c>
      <c r="Q26">
        <v>1.0025500000000005</v>
      </c>
      <c r="R26">
        <v>1.9966299999999999</v>
      </c>
      <c r="S26">
        <v>1.0056500000000006</v>
      </c>
      <c r="T26">
        <v>1.84406</v>
      </c>
      <c r="U26">
        <v>1.0026100000000002</v>
      </c>
      <c r="V26">
        <v>1.5004299999999999</v>
      </c>
      <c r="W26">
        <v>1.0237999999999998</v>
      </c>
      <c r="X26">
        <v>1.7072400000000001</v>
      </c>
      <c r="Y26">
        <v>1.0105000000000004</v>
      </c>
      <c r="Z26">
        <v>1.5388900000000001</v>
      </c>
      <c r="AA26">
        <v>1.0162200000000006</v>
      </c>
    </row>
    <row r="27" spans="1:27" ht="28.8" x14ac:dyDescent="0.3">
      <c r="A27" s="4" t="s">
        <v>52</v>
      </c>
      <c r="B27">
        <v>2.1890000000000009</v>
      </c>
      <c r="C27">
        <v>1.1757000000000002</v>
      </c>
      <c r="D27">
        <v>1.9563999999999999</v>
      </c>
      <c r="E27">
        <v>1.0642199999999995</v>
      </c>
      <c r="F27">
        <v>2.0064299999999999</v>
      </c>
      <c r="G27">
        <v>1.07226</v>
      </c>
      <c r="H27">
        <v>1.88323</v>
      </c>
      <c r="I27">
        <v>1.0523</v>
      </c>
      <c r="J27">
        <v>2.00773</v>
      </c>
      <c r="K27">
        <v>1.0708299999999997</v>
      </c>
      <c r="L27">
        <v>1.93475</v>
      </c>
      <c r="M27">
        <v>1.1975399999999996</v>
      </c>
      <c r="N27">
        <v>1.7993300000000001</v>
      </c>
      <c r="O27">
        <v>1.1729200000000002</v>
      </c>
      <c r="P27">
        <v>2.0197099999999999</v>
      </c>
      <c r="Q27">
        <v>1.1652500000000001</v>
      </c>
      <c r="R27">
        <v>2.1778499999999998</v>
      </c>
      <c r="S27">
        <v>1.2413900000000002</v>
      </c>
      <c r="T27">
        <v>2.1374200000000001</v>
      </c>
      <c r="U27">
        <v>1.2556</v>
      </c>
      <c r="V27">
        <v>2.1981999999999999</v>
      </c>
      <c r="W27">
        <v>1.3677599999999999</v>
      </c>
      <c r="X27">
        <v>2.22641</v>
      </c>
      <c r="Y27">
        <v>1.2972999999999999</v>
      </c>
      <c r="Z27">
        <v>2.1957</v>
      </c>
      <c r="AA27">
        <v>1.288079999999999</v>
      </c>
    </row>
    <row r="28" spans="1:27" ht="72" x14ac:dyDescent="0.3">
      <c r="A28" s="4" t="s">
        <v>53</v>
      </c>
      <c r="B28">
        <v>2.0566500000000003</v>
      </c>
      <c r="C28">
        <v>1.2167599999999996</v>
      </c>
      <c r="D28">
        <v>1.8883399999999999</v>
      </c>
      <c r="E28">
        <v>1.3887999999999996</v>
      </c>
      <c r="F28">
        <v>1.99705</v>
      </c>
      <c r="G28">
        <v>1.1502400000000002</v>
      </c>
      <c r="H28">
        <v>2.0091999999999999</v>
      </c>
      <c r="I28">
        <v>1.3322799999999999</v>
      </c>
      <c r="J28">
        <v>2.1132499999999999</v>
      </c>
      <c r="K28">
        <v>1.2241499999999998</v>
      </c>
      <c r="L28">
        <v>2.06514</v>
      </c>
      <c r="M28">
        <v>1.5772000000000002</v>
      </c>
      <c r="N28">
        <v>1.9657</v>
      </c>
      <c r="O28">
        <v>1.2336799999999997</v>
      </c>
      <c r="P28">
        <v>2.0383300000000002</v>
      </c>
      <c r="Q28">
        <v>1.15764</v>
      </c>
      <c r="R28">
        <v>1.92865</v>
      </c>
      <c r="S28">
        <v>1.2035399999999996</v>
      </c>
      <c r="T28">
        <v>1.9606600000000001</v>
      </c>
      <c r="U28">
        <v>1.3581899999999996</v>
      </c>
      <c r="V28">
        <v>2.0093999999999999</v>
      </c>
      <c r="W28">
        <v>1.3769799999999992</v>
      </c>
      <c r="X28">
        <v>2.04331</v>
      </c>
      <c r="Y28">
        <v>1.3652700000000002</v>
      </c>
      <c r="Z28">
        <v>2.0767600000000002</v>
      </c>
      <c r="AA28">
        <v>1.3328099999999996</v>
      </c>
    </row>
    <row r="29" spans="1:27" ht="43.2" x14ac:dyDescent="0.3">
      <c r="A29" s="4" t="s">
        <v>54</v>
      </c>
      <c r="B29">
        <v>1.9615100000000001</v>
      </c>
      <c r="C29">
        <v>3.3327400000000003</v>
      </c>
      <c r="D29">
        <v>1.9316199999999999</v>
      </c>
      <c r="E29">
        <v>3.0296000000000003</v>
      </c>
      <c r="F29">
        <v>1.8414299999999999</v>
      </c>
      <c r="G29">
        <v>2.9575799999999988</v>
      </c>
      <c r="H29">
        <v>1.8284899999999999</v>
      </c>
      <c r="I29">
        <v>2.7448999999999999</v>
      </c>
      <c r="J29">
        <v>1.81236</v>
      </c>
      <c r="K29">
        <v>2.9064099999999988</v>
      </c>
      <c r="L29">
        <v>1.6533500000000001</v>
      </c>
      <c r="M29">
        <v>2.7876100000000004</v>
      </c>
      <c r="N29">
        <v>1.7305600000000001</v>
      </c>
      <c r="O29">
        <v>2.3287400000000003</v>
      </c>
      <c r="P29">
        <v>1.7396799999999999</v>
      </c>
      <c r="Q29">
        <v>2.2928000000000006</v>
      </c>
      <c r="R29">
        <v>1.74942</v>
      </c>
      <c r="S29">
        <v>2.4455700000000009</v>
      </c>
      <c r="T29">
        <v>1.6933499999999999</v>
      </c>
      <c r="U29">
        <v>2.4615699999999987</v>
      </c>
      <c r="V29">
        <v>1.6024</v>
      </c>
      <c r="W29">
        <v>2.6621199999999994</v>
      </c>
      <c r="X29">
        <v>1.5645500000000001</v>
      </c>
      <c r="Y29">
        <v>2.4530099999999999</v>
      </c>
      <c r="Z29">
        <v>1.4351799999999999</v>
      </c>
      <c r="AA29">
        <v>2.4813400000000003</v>
      </c>
    </row>
    <row r="30" spans="1:27" ht="72" x14ac:dyDescent="0.3">
      <c r="A30" s="4" t="s">
        <v>55</v>
      </c>
      <c r="B30">
        <v>1.9841699999999995</v>
      </c>
      <c r="C30">
        <v>1.2304000000000004</v>
      </c>
      <c r="D30">
        <v>1.8252999999999999</v>
      </c>
      <c r="E30">
        <v>1.1777700000000002</v>
      </c>
      <c r="F30">
        <v>1.7381200000000001</v>
      </c>
      <c r="G30">
        <v>1.1485100000000006</v>
      </c>
      <c r="H30">
        <v>1.7279100000000001</v>
      </c>
      <c r="I30">
        <v>1.1808700000000001</v>
      </c>
      <c r="J30">
        <v>1.7271000000000001</v>
      </c>
      <c r="K30">
        <v>1.22119</v>
      </c>
      <c r="L30">
        <v>1.7411099999999999</v>
      </c>
      <c r="M30">
        <v>1.2256900000000002</v>
      </c>
      <c r="N30">
        <v>1.67822</v>
      </c>
      <c r="O30">
        <v>1.1799599999999999</v>
      </c>
      <c r="P30">
        <v>1.8484799999999999</v>
      </c>
      <c r="Q30">
        <v>1.2187900000000003</v>
      </c>
      <c r="R30">
        <v>1.8634599999999999</v>
      </c>
      <c r="S30">
        <v>1.2452699999999997</v>
      </c>
      <c r="T30">
        <v>1.8937200000000001</v>
      </c>
      <c r="U30">
        <v>1.2669700000000002</v>
      </c>
      <c r="V30">
        <v>1.8797900000000001</v>
      </c>
      <c r="W30">
        <v>1.3587700000000007</v>
      </c>
      <c r="X30">
        <v>1.88348</v>
      </c>
      <c r="Y30">
        <v>1.3714099999999998</v>
      </c>
      <c r="Z30">
        <v>1.9411499999999999</v>
      </c>
      <c r="AA30">
        <v>1.4138799999999998</v>
      </c>
    </row>
    <row r="31" spans="1:27" x14ac:dyDescent="0.3">
      <c r="A31" s="4" t="s">
        <v>56</v>
      </c>
      <c r="B31">
        <v>2.1073799999999996</v>
      </c>
      <c r="C31">
        <v>1.7604999999999997</v>
      </c>
      <c r="D31">
        <v>1.9324399999999999</v>
      </c>
      <c r="E31">
        <v>1.8745400000000005</v>
      </c>
      <c r="F31">
        <v>1.8929</v>
      </c>
      <c r="G31">
        <v>2.0392800000000002</v>
      </c>
      <c r="H31">
        <v>1.9021600000000001</v>
      </c>
      <c r="I31">
        <v>2.0537299999999998</v>
      </c>
      <c r="J31">
        <v>1.9029700000000001</v>
      </c>
      <c r="K31">
        <v>1.9517</v>
      </c>
      <c r="L31">
        <v>1.86581</v>
      </c>
      <c r="M31">
        <v>1.6419799999999998</v>
      </c>
      <c r="N31">
        <v>1.92438</v>
      </c>
      <c r="O31">
        <v>1.8213100000000002</v>
      </c>
      <c r="P31">
        <v>1.9229000000000001</v>
      </c>
      <c r="Q31">
        <v>3.5036099999999997</v>
      </c>
      <c r="R31">
        <v>1.9903299999999999</v>
      </c>
      <c r="S31">
        <v>3.0866699999999998</v>
      </c>
      <c r="T31">
        <v>2.0105300000000002</v>
      </c>
      <c r="U31">
        <v>2.93771</v>
      </c>
      <c r="V31">
        <v>2.0341800000000001</v>
      </c>
      <c r="W31">
        <v>1.9878200000000004</v>
      </c>
      <c r="X31">
        <v>2.0360200000000002</v>
      </c>
      <c r="Y31">
        <v>2.0792099999999998</v>
      </c>
      <c r="Z31">
        <v>1.97688</v>
      </c>
      <c r="AA31">
        <v>1.96793</v>
      </c>
    </row>
    <row r="32" spans="1:27" ht="43.2" x14ac:dyDescent="0.3">
      <c r="A32" s="4" t="s">
        <v>57</v>
      </c>
      <c r="B32">
        <v>1.5172899999999998</v>
      </c>
      <c r="C32">
        <v>3.9549699999999994</v>
      </c>
      <c r="D32">
        <v>1.3849499999999999</v>
      </c>
      <c r="E32">
        <v>3.6412699999999996</v>
      </c>
      <c r="F32">
        <v>1.33074</v>
      </c>
      <c r="G32">
        <v>3.5154600000000005</v>
      </c>
      <c r="H32">
        <v>1.3181700000000001</v>
      </c>
      <c r="I32">
        <v>3.5849500000000005</v>
      </c>
      <c r="J32">
        <v>1.3427100000000001</v>
      </c>
      <c r="K32">
        <v>3.698430000000001</v>
      </c>
      <c r="L32">
        <v>1.3237699999999999</v>
      </c>
      <c r="M32">
        <v>3.6885499999999998</v>
      </c>
      <c r="N32">
        <v>1.2545999999999999</v>
      </c>
      <c r="O32">
        <v>3.506870000000001</v>
      </c>
      <c r="P32">
        <v>1.20885</v>
      </c>
      <c r="Q32">
        <v>3.5218000000000003</v>
      </c>
      <c r="R32">
        <v>1.20862</v>
      </c>
      <c r="S32">
        <v>3.5358000000000009</v>
      </c>
      <c r="T32">
        <v>1.22827</v>
      </c>
      <c r="U32">
        <v>3.6301100000000011</v>
      </c>
      <c r="V32">
        <v>1.2640899999999999</v>
      </c>
      <c r="W32">
        <v>3.7262699999999991</v>
      </c>
      <c r="X32">
        <v>1.24498</v>
      </c>
      <c r="Y32">
        <v>3.6445899999999996</v>
      </c>
      <c r="Z32">
        <v>1.26214</v>
      </c>
      <c r="AA32">
        <v>3.6288700000000005</v>
      </c>
    </row>
    <row r="33" spans="1:27" ht="43.2" x14ac:dyDescent="0.3">
      <c r="A33" s="4" t="s">
        <v>58</v>
      </c>
      <c r="B33">
        <v>1.8587800000000005</v>
      </c>
      <c r="C33">
        <v>3.1646100000000001</v>
      </c>
      <c r="D33">
        <v>1.7660400000000001</v>
      </c>
      <c r="E33">
        <v>2.8707099999999999</v>
      </c>
      <c r="F33">
        <v>1.7280199999999999</v>
      </c>
      <c r="G33">
        <v>2.8604199999999995</v>
      </c>
      <c r="H33">
        <v>1.69797</v>
      </c>
      <c r="I33">
        <v>2.8661300000000005</v>
      </c>
      <c r="J33">
        <v>1.6795</v>
      </c>
      <c r="K33">
        <v>2.8717199999999998</v>
      </c>
      <c r="L33">
        <v>1.69008</v>
      </c>
      <c r="M33">
        <v>2.8894700000000002</v>
      </c>
      <c r="N33">
        <v>1.5948500000000001</v>
      </c>
      <c r="O33">
        <v>2.8979600000000003</v>
      </c>
      <c r="P33">
        <v>1.7124999999999999</v>
      </c>
      <c r="Q33">
        <v>3.2529000000000008</v>
      </c>
      <c r="R33">
        <v>1.6991499999999999</v>
      </c>
      <c r="S33">
        <v>3.1150300000000004</v>
      </c>
      <c r="T33">
        <v>1.7335</v>
      </c>
      <c r="U33">
        <v>3.2565199999999996</v>
      </c>
      <c r="V33">
        <v>1.6938200000000001</v>
      </c>
      <c r="W33">
        <v>2.5432700000000001</v>
      </c>
      <c r="X33">
        <v>1.6848000000000001</v>
      </c>
      <c r="Y33">
        <v>2.9215299999999993</v>
      </c>
      <c r="Z33">
        <v>1.5480100000000001</v>
      </c>
      <c r="AA33">
        <v>2.9727100000000006</v>
      </c>
    </row>
    <row r="34" spans="1:27" x14ac:dyDescent="0.3">
      <c r="A34" s="4" t="s">
        <v>59</v>
      </c>
      <c r="B34">
        <v>1.6365099999999999</v>
      </c>
      <c r="C34">
        <v>1.0579999999999994</v>
      </c>
      <c r="D34">
        <v>1.8722399999999999</v>
      </c>
      <c r="E34">
        <v>1.0608000000000002</v>
      </c>
      <c r="F34">
        <v>1.5568900000000001</v>
      </c>
      <c r="G34">
        <v>1.0579399999999999</v>
      </c>
      <c r="H34">
        <v>1.5688500000000001</v>
      </c>
      <c r="I34">
        <v>1.0474300000000001</v>
      </c>
      <c r="J34">
        <v>1.21621</v>
      </c>
      <c r="K34">
        <v>1.0452999999999997</v>
      </c>
      <c r="L34">
        <v>1.1007400000000001</v>
      </c>
      <c r="M34">
        <v>1.0494699999999995</v>
      </c>
      <c r="N34">
        <v>1.09772</v>
      </c>
      <c r="O34">
        <v>1.0431699999999995</v>
      </c>
      <c r="P34">
        <v>1.22898</v>
      </c>
      <c r="Q34">
        <v>1.0507700000000002</v>
      </c>
      <c r="R34">
        <v>1.2698</v>
      </c>
      <c r="S34">
        <v>1.0519099999999999</v>
      </c>
      <c r="T34">
        <v>1.31839</v>
      </c>
      <c r="U34">
        <v>1.04874</v>
      </c>
      <c r="V34">
        <v>1.32437</v>
      </c>
      <c r="W34">
        <v>1.0407199999999996</v>
      </c>
      <c r="X34">
        <v>1.3069</v>
      </c>
      <c r="Y34">
        <v>1.0481399999999992</v>
      </c>
      <c r="Z34">
        <v>1.2149700000000001</v>
      </c>
      <c r="AA34">
        <v>1.0492699999999999</v>
      </c>
    </row>
    <row r="35" spans="1:27" x14ac:dyDescent="0.3">
      <c r="A35" s="4" t="s">
        <v>60</v>
      </c>
      <c r="B35">
        <v>2.2874800000000008</v>
      </c>
      <c r="C35">
        <v>1.20668</v>
      </c>
      <c r="D35">
        <v>2.3717800000000002</v>
      </c>
      <c r="E35">
        <v>1.1556300000000002</v>
      </c>
      <c r="F35">
        <v>2.24857</v>
      </c>
      <c r="G35">
        <v>1.1463300000000001</v>
      </c>
      <c r="H35">
        <v>2.2993299999999999</v>
      </c>
      <c r="I35">
        <v>1.1546500000000002</v>
      </c>
      <c r="J35">
        <v>2.2636799999999999</v>
      </c>
      <c r="K35">
        <v>1.1553399999999998</v>
      </c>
      <c r="L35">
        <v>2.07796</v>
      </c>
      <c r="M35">
        <v>1.1549899999999995</v>
      </c>
      <c r="N35">
        <v>2.0065200000000001</v>
      </c>
      <c r="O35">
        <v>1.1882199999999998</v>
      </c>
      <c r="P35">
        <v>2.06724</v>
      </c>
      <c r="Q35">
        <v>1.2092100000000001</v>
      </c>
      <c r="R35">
        <v>2.0489299999999999</v>
      </c>
      <c r="S35">
        <v>1.1519400000000002</v>
      </c>
      <c r="T35">
        <v>1.9966999999999999</v>
      </c>
      <c r="U35">
        <v>1.1579600000000003</v>
      </c>
      <c r="V35">
        <v>1.8144899999999999</v>
      </c>
      <c r="W35">
        <v>1.0485500000000001</v>
      </c>
      <c r="X35">
        <v>1.93021</v>
      </c>
      <c r="Y35">
        <v>1.0526800000000001</v>
      </c>
      <c r="Z35">
        <v>1.7999700000000001</v>
      </c>
      <c r="AA35">
        <v>1.05576</v>
      </c>
    </row>
    <row r="36" spans="1:27" ht="43.2" x14ac:dyDescent="0.3">
      <c r="A36" s="4" t="s">
        <v>61</v>
      </c>
      <c r="B36">
        <v>1.8484799999999999</v>
      </c>
      <c r="C36">
        <v>1.51691</v>
      </c>
      <c r="D36">
        <v>1.8061499999999999</v>
      </c>
      <c r="E36">
        <v>1.4549699999999999</v>
      </c>
      <c r="F36">
        <v>1.7296800000000001</v>
      </c>
      <c r="G36">
        <v>1.4336200000000001</v>
      </c>
      <c r="H36">
        <v>1.75858</v>
      </c>
      <c r="I36">
        <v>1.36938</v>
      </c>
      <c r="J36">
        <v>1.74549</v>
      </c>
      <c r="K36">
        <v>1.4291000000000003</v>
      </c>
      <c r="L36">
        <v>1.77084</v>
      </c>
      <c r="M36">
        <v>1.4476299999999995</v>
      </c>
      <c r="N36">
        <v>1.6062399999999999</v>
      </c>
      <c r="O36">
        <v>1.5186999999999995</v>
      </c>
      <c r="P36">
        <v>1.6884399999999999</v>
      </c>
      <c r="Q36">
        <v>1.4178199999999999</v>
      </c>
      <c r="R36">
        <v>1.7095400000000001</v>
      </c>
      <c r="S36">
        <v>1.3859900000000003</v>
      </c>
      <c r="T36">
        <v>1.7165600000000001</v>
      </c>
      <c r="U36">
        <v>1.3403200000000002</v>
      </c>
      <c r="V36">
        <v>1.65334</v>
      </c>
      <c r="W36">
        <v>1.3927200000000002</v>
      </c>
      <c r="X36">
        <v>1.6792800000000001</v>
      </c>
      <c r="Y36">
        <v>1.4264200000000002</v>
      </c>
      <c r="Z36">
        <v>1.5522199999999999</v>
      </c>
      <c r="AA36">
        <v>1.41306</v>
      </c>
    </row>
    <row r="37" spans="1:27" ht="28.8" x14ac:dyDescent="0.3">
      <c r="A37" s="4" t="s">
        <v>62</v>
      </c>
      <c r="B37">
        <v>1.33843</v>
      </c>
      <c r="C37">
        <v>1.1299500000000002</v>
      </c>
      <c r="D37">
        <v>1.4711399999999999</v>
      </c>
      <c r="E37">
        <v>1.1369199999999997</v>
      </c>
      <c r="F37">
        <v>1.4493100000000001</v>
      </c>
      <c r="G37">
        <v>1.1274700000000002</v>
      </c>
      <c r="H37">
        <v>1.40036</v>
      </c>
      <c r="I37">
        <v>1.1081100000000002</v>
      </c>
      <c r="J37">
        <v>1.4255199999999999</v>
      </c>
      <c r="K37">
        <v>1.1188799999999999</v>
      </c>
      <c r="L37">
        <v>1.4481599999999999</v>
      </c>
      <c r="M37">
        <v>1.12957</v>
      </c>
      <c r="N37">
        <v>1.33796</v>
      </c>
      <c r="O37">
        <v>1.1367400000000001</v>
      </c>
      <c r="P37">
        <v>1.5405500000000001</v>
      </c>
      <c r="Q37">
        <v>1.2018499999999999</v>
      </c>
      <c r="R37">
        <v>1.5623499999999999</v>
      </c>
      <c r="S37">
        <v>1.1641599999999999</v>
      </c>
      <c r="T37">
        <v>1.63815</v>
      </c>
      <c r="U37">
        <v>1.1691499999999999</v>
      </c>
      <c r="V37">
        <v>1.6621600000000001</v>
      </c>
      <c r="W37">
        <v>1.2998299999999998</v>
      </c>
      <c r="X37">
        <v>1.7258599999999999</v>
      </c>
      <c r="Y37">
        <v>1.3450899999999997</v>
      </c>
      <c r="Z37">
        <v>1.7268300000000001</v>
      </c>
      <c r="AA37">
        <v>1.3613500000000001</v>
      </c>
    </row>
    <row r="38" spans="1:27" ht="43.2" x14ac:dyDescent="0.3">
      <c r="A38" s="4" t="s">
        <v>63</v>
      </c>
      <c r="B38">
        <v>2.1445100000000004</v>
      </c>
      <c r="C38">
        <v>1.3350000000000002</v>
      </c>
      <c r="D38">
        <v>2.0604300000000002</v>
      </c>
      <c r="E38">
        <v>1.2251000000000003</v>
      </c>
      <c r="F38">
        <v>1.99512</v>
      </c>
      <c r="G38">
        <v>1.1816499999999999</v>
      </c>
      <c r="H38">
        <v>1.9845999999999999</v>
      </c>
      <c r="I38">
        <v>1.1494999999999997</v>
      </c>
      <c r="J38">
        <v>1.9282300000000001</v>
      </c>
      <c r="K38">
        <v>1.1551000000000002</v>
      </c>
      <c r="L38">
        <v>1.91212</v>
      </c>
      <c r="M38">
        <v>1.1645400000000004</v>
      </c>
      <c r="N38">
        <v>2.0467599999999999</v>
      </c>
      <c r="O38">
        <v>1.1731199999999999</v>
      </c>
      <c r="P38">
        <v>1.9034899999999999</v>
      </c>
      <c r="Q38">
        <v>1.2048100000000002</v>
      </c>
      <c r="R38">
        <v>1.8614900000000001</v>
      </c>
      <c r="S38">
        <v>1.1818299999999997</v>
      </c>
      <c r="T38">
        <v>1.86561</v>
      </c>
      <c r="U38">
        <v>1.2288799999999998</v>
      </c>
      <c r="V38">
        <v>2.01694</v>
      </c>
      <c r="W38">
        <v>1.2327199999999998</v>
      </c>
      <c r="X38">
        <v>2.0124</v>
      </c>
      <c r="Y38">
        <v>1.2414799999999999</v>
      </c>
      <c r="Z38">
        <v>2.0129899999999998</v>
      </c>
      <c r="AA38">
        <v>1.2520499999999997</v>
      </c>
    </row>
    <row r="39" spans="1:27" ht="57.6" x14ac:dyDescent="0.3">
      <c r="A39" s="4" t="s">
        <v>64</v>
      </c>
      <c r="B39">
        <v>2.0115600000000002</v>
      </c>
      <c r="C39">
        <v>1.1336399999999998</v>
      </c>
      <c r="D39">
        <v>1.8809899999999999</v>
      </c>
      <c r="E39">
        <v>1.0985600000000004</v>
      </c>
      <c r="F39">
        <v>1.83094</v>
      </c>
      <c r="G39">
        <v>1.0584099999999999</v>
      </c>
      <c r="H39">
        <v>1.7573000000000001</v>
      </c>
      <c r="I39">
        <v>1.0535099999999999</v>
      </c>
      <c r="J39">
        <v>1.8731899999999999</v>
      </c>
      <c r="K39">
        <v>1.1004500000000004</v>
      </c>
      <c r="L39">
        <v>1.85097</v>
      </c>
      <c r="M39">
        <v>1.09598</v>
      </c>
      <c r="N39">
        <v>1.76833</v>
      </c>
      <c r="O39">
        <v>1.0447199999999999</v>
      </c>
      <c r="P39">
        <v>1.7985500000000001</v>
      </c>
      <c r="Q39">
        <v>1.1112699999999998</v>
      </c>
      <c r="R39">
        <v>1.77965</v>
      </c>
      <c r="S39">
        <v>1.12253</v>
      </c>
      <c r="T39">
        <v>1.79901</v>
      </c>
      <c r="U39">
        <v>1.1441299999999996</v>
      </c>
      <c r="V39">
        <v>1.78044</v>
      </c>
      <c r="W39">
        <v>1.2013900000000004</v>
      </c>
      <c r="X39">
        <v>1.7725599999999999</v>
      </c>
      <c r="Y39">
        <v>1.1950800000000001</v>
      </c>
      <c r="Z39">
        <v>1.78077</v>
      </c>
      <c r="AA39">
        <v>1.1971599999999998</v>
      </c>
    </row>
    <row r="40" spans="1:27" x14ac:dyDescent="0.3">
      <c r="A40" s="4" t="s">
        <v>65</v>
      </c>
      <c r="B40">
        <v>2.23699</v>
      </c>
      <c r="C40">
        <v>2.0162800000000001</v>
      </c>
      <c r="D40">
        <v>2.02793</v>
      </c>
      <c r="E40">
        <v>1.8646100000000001</v>
      </c>
      <c r="F40">
        <v>1.96428</v>
      </c>
      <c r="G40">
        <v>1.7320800000000003</v>
      </c>
      <c r="H40">
        <v>1.8941600000000001</v>
      </c>
      <c r="I40">
        <v>1.7079299999999999</v>
      </c>
      <c r="J40">
        <v>1.86856</v>
      </c>
      <c r="K40">
        <v>1.7917699999999999</v>
      </c>
      <c r="L40">
        <v>1.8164</v>
      </c>
      <c r="M40">
        <v>1.7436699999999998</v>
      </c>
      <c r="N40">
        <v>1.8056300000000001</v>
      </c>
      <c r="O40">
        <v>1.6192000000000006</v>
      </c>
      <c r="P40">
        <v>1.8354699999999999</v>
      </c>
      <c r="Q40">
        <v>1.5496299999999998</v>
      </c>
      <c r="R40">
        <v>1.85568</v>
      </c>
      <c r="S40">
        <v>1.4667500000000002</v>
      </c>
      <c r="T40">
        <v>1.8653500000000001</v>
      </c>
      <c r="U40">
        <v>1.4922000000000002</v>
      </c>
      <c r="V40">
        <v>1.81813</v>
      </c>
      <c r="W40">
        <v>1.5780500000000002</v>
      </c>
      <c r="X40">
        <v>1.78057</v>
      </c>
      <c r="Y40">
        <v>1.5319700000000005</v>
      </c>
      <c r="Z40">
        <v>1.79382</v>
      </c>
      <c r="AA40">
        <v>1.5353499999999998</v>
      </c>
    </row>
    <row r="41" spans="1:27" ht="28.8" x14ac:dyDescent="0.3">
      <c r="A41" s="4" t="s">
        <v>66</v>
      </c>
      <c r="B41">
        <v>1.5551000000000001</v>
      </c>
      <c r="C41">
        <v>1.4057299999999999</v>
      </c>
      <c r="D41">
        <v>1.4430499999999999</v>
      </c>
      <c r="E41">
        <v>1.1853000000000005</v>
      </c>
      <c r="F41">
        <v>1.41513</v>
      </c>
      <c r="G41">
        <v>1.1090800000000001</v>
      </c>
      <c r="H41">
        <v>1.3946799999999999</v>
      </c>
      <c r="I41">
        <v>1.2649000000000001</v>
      </c>
      <c r="J41">
        <v>1.4238599999999999</v>
      </c>
      <c r="K41">
        <v>1.2606600000000001</v>
      </c>
      <c r="L41">
        <v>1.4508799999999999</v>
      </c>
      <c r="M41">
        <v>1.5302000000000002</v>
      </c>
      <c r="N41">
        <v>1.4254800000000001</v>
      </c>
      <c r="O41">
        <v>1.4040299999999999</v>
      </c>
      <c r="P41">
        <v>1.3711100000000001</v>
      </c>
      <c r="Q41">
        <v>1.4517199999999999</v>
      </c>
      <c r="R41">
        <v>1.42378</v>
      </c>
      <c r="S41">
        <v>1.3638400000000002</v>
      </c>
      <c r="T41">
        <v>1.43719</v>
      </c>
      <c r="U41">
        <v>1.7775699999999999</v>
      </c>
      <c r="V41">
        <v>1.3355999999999999</v>
      </c>
      <c r="W41">
        <v>1.7401800000000001</v>
      </c>
      <c r="X41">
        <v>1.3627</v>
      </c>
      <c r="Y41">
        <v>1.7101</v>
      </c>
      <c r="Z41">
        <v>1.3852500000000001</v>
      </c>
      <c r="AA41">
        <v>1.5778000000000001</v>
      </c>
    </row>
    <row r="42" spans="1:27" ht="28.8" x14ac:dyDescent="0.3">
      <c r="A42" s="4" t="s">
        <v>67</v>
      </c>
      <c r="B42">
        <v>1.7332199999999998</v>
      </c>
      <c r="C42">
        <v>4.2237199999999993</v>
      </c>
      <c r="D42">
        <v>1.6296999999999999</v>
      </c>
      <c r="E42">
        <v>3.96726</v>
      </c>
      <c r="F42">
        <v>1.60206</v>
      </c>
      <c r="G42">
        <v>3.7436100000000003</v>
      </c>
      <c r="H42">
        <v>1.5632900000000001</v>
      </c>
      <c r="I42">
        <v>3.7527999999999997</v>
      </c>
      <c r="J42">
        <v>1.58178</v>
      </c>
      <c r="K42">
        <v>3.8419600000000003</v>
      </c>
      <c r="L42">
        <v>1.59866</v>
      </c>
      <c r="M42">
        <v>3.7657999999999996</v>
      </c>
      <c r="N42">
        <v>1.6098399999999999</v>
      </c>
      <c r="O42">
        <v>3.4992099999999993</v>
      </c>
      <c r="P42">
        <v>1.6275500000000001</v>
      </c>
      <c r="Q42">
        <v>4.0394100000000002</v>
      </c>
      <c r="R42">
        <v>1.62063</v>
      </c>
      <c r="S42">
        <v>3.8993599999999997</v>
      </c>
      <c r="T42">
        <v>1.6336900000000001</v>
      </c>
      <c r="U42">
        <v>4.3103500000000006</v>
      </c>
      <c r="V42">
        <v>1.6590499999999999</v>
      </c>
      <c r="W42">
        <v>4.1705699999999997</v>
      </c>
      <c r="X42">
        <v>1.66882</v>
      </c>
      <c r="Y42">
        <v>3.798929999999999</v>
      </c>
      <c r="Z42">
        <v>1.68059</v>
      </c>
      <c r="AA42">
        <v>3.82315</v>
      </c>
    </row>
    <row r="43" spans="1:27" x14ac:dyDescent="0.3">
      <c r="A43" s="4" t="s">
        <v>68</v>
      </c>
      <c r="B43">
        <v>1.3822100000000002</v>
      </c>
      <c r="C43">
        <v>1.4029800000000001</v>
      </c>
      <c r="D43">
        <v>1.3066899999999999</v>
      </c>
      <c r="E43">
        <v>1.1718299999999999</v>
      </c>
      <c r="F43">
        <v>1.2626299999999999</v>
      </c>
      <c r="G43">
        <v>1.1578299999999997</v>
      </c>
      <c r="H43">
        <v>1.27529</v>
      </c>
      <c r="I43">
        <v>1.2153499999999999</v>
      </c>
      <c r="J43">
        <v>1.26233</v>
      </c>
      <c r="K43">
        <v>1.1788000000000003</v>
      </c>
      <c r="L43">
        <v>1.2715399999999999</v>
      </c>
      <c r="M43">
        <v>1.2301900000000001</v>
      </c>
      <c r="N43">
        <v>1.26678</v>
      </c>
      <c r="O43">
        <v>1.2580300000000002</v>
      </c>
      <c r="P43">
        <v>1.24281</v>
      </c>
      <c r="Q43">
        <v>1.2048400000000001</v>
      </c>
      <c r="R43">
        <v>1.25102</v>
      </c>
      <c r="S43">
        <v>1.2525000000000002</v>
      </c>
      <c r="T43">
        <v>1.2396199999999999</v>
      </c>
      <c r="U43">
        <v>1.2405599999999999</v>
      </c>
      <c r="V43">
        <v>1.24756</v>
      </c>
      <c r="W43">
        <v>1.20492</v>
      </c>
      <c r="X43">
        <v>1.24698</v>
      </c>
      <c r="Y43">
        <v>1.19495</v>
      </c>
      <c r="Z43">
        <v>1.2486600000000001</v>
      </c>
      <c r="AA43">
        <v>1.19459</v>
      </c>
    </row>
    <row r="44" spans="1:27" ht="43.2" x14ac:dyDescent="0.3">
      <c r="A44" s="4" t="s">
        <v>69</v>
      </c>
      <c r="B44">
        <v>1.6738099999999998</v>
      </c>
      <c r="C44">
        <v>1.0107500000000003</v>
      </c>
      <c r="D44">
        <v>1.5707199999999999</v>
      </c>
      <c r="E44">
        <v>1.0086599999999999</v>
      </c>
      <c r="F44">
        <v>1.5271300000000001</v>
      </c>
      <c r="G44">
        <v>1.0128600000000001</v>
      </c>
      <c r="H44">
        <v>1.51555</v>
      </c>
      <c r="I44">
        <v>1.02454</v>
      </c>
      <c r="J44">
        <v>1.5885800000000001</v>
      </c>
      <c r="K44">
        <v>1.0246</v>
      </c>
      <c r="L44">
        <v>1.5522199999999999</v>
      </c>
      <c r="M44">
        <v>1.02091</v>
      </c>
      <c r="N44">
        <v>1.4814000000000001</v>
      </c>
      <c r="O44">
        <v>1.0109599999999999</v>
      </c>
      <c r="P44">
        <v>1.4764299999999999</v>
      </c>
      <c r="Q44">
        <v>1.0120200000000001</v>
      </c>
      <c r="R44">
        <v>1.46105</v>
      </c>
      <c r="S44">
        <v>1.01223</v>
      </c>
      <c r="T44">
        <v>1.5023599999999999</v>
      </c>
      <c r="U44">
        <v>1.0206299999999997</v>
      </c>
      <c r="V44">
        <v>1.4730399999999999</v>
      </c>
      <c r="W44">
        <v>1.0196699999999999</v>
      </c>
      <c r="X44">
        <v>1.45939</v>
      </c>
      <c r="Y44">
        <v>1.0189699999999997</v>
      </c>
      <c r="Z44">
        <v>1.4777400000000001</v>
      </c>
      <c r="AA44">
        <v>1.0171499999999998</v>
      </c>
    </row>
    <row r="45" spans="1:27" ht="28.8" x14ac:dyDescent="0.3">
      <c r="A45" s="4" t="s">
        <v>70</v>
      </c>
      <c r="B45">
        <v>1.67774</v>
      </c>
      <c r="C45">
        <v>1.99508</v>
      </c>
      <c r="D45">
        <v>1.5703100000000001</v>
      </c>
      <c r="E45">
        <v>2.0499199999999997</v>
      </c>
      <c r="F45">
        <v>1.46221</v>
      </c>
      <c r="G45">
        <v>2.0824099999999999</v>
      </c>
      <c r="H45">
        <v>1.5864</v>
      </c>
      <c r="I45">
        <v>2.8547500000000001</v>
      </c>
      <c r="J45">
        <v>1.5830900000000001</v>
      </c>
      <c r="K45">
        <v>2.9758299999999993</v>
      </c>
      <c r="L45">
        <v>1.5540099999999999</v>
      </c>
      <c r="M45">
        <v>2.9363999999999999</v>
      </c>
      <c r="N45">
        <v>1.49396</v>
      </c>
      <c r="O45">
        <v>2.3223199999999999</v>
      </c>
      <c r="P45">
        <v>1.51328</v>
      </c>
      <c r="Q45">
        <v>2.2015700000000002</v>
      </c>
      <c r="R45">
        <v>1.48645</v>
      </c>
      <c r="S45">
        <v>2.4988000000000001</v>
      </c>
      <c r="T45">
        <v>1.53027</v>
      </c>
      <c r="U45">
        <v>2.5355400000000001</v>
      </c>
      <c r="V45">
        <v>1.52024</v>
      </c>
      <c r="W45">
        <v>2.6349299999999998</v>
      </c>
      <c r="X45">
        <v>1.5032300000000001</v>
      </c>
      <c r="Y45">
        <v>2.4998099999999996</v>
      </c>
      <c r="Z45">
        <v>1.5173099999999999</v>
      </c>
      <c r="AA45">
        <v>2.4931399999999995</v>
      </c>
    </row>
    <row r="46" spans="1:27" ht="57.6" x14ac:dyDescent="0.3">
      <c r="A46" s="4" t="s">
        <v>71</v>
      </c>
      <c r="B46">
        <v>1.4946700000000002</v>
      </c>
      <c r="C46">
        <v>1.2145000000000001</v>
      </c>
      <c r="D46">
        <v>1.37314</v>
      </c>
      <c r="E46">
        <v>1.1648200000000002</v>
      </c>
      <c r="F46">
        <v>1.3071600000000001</v>
      </c>
      <c r="G46">
        <v>1.0362399999999998</v>
      </c>
      <c r="H46">
        <v>1.3137300000000001</v>
      </c>
      <c r="I46">
        <v>1.0507399999999998</v>
      </c>
      <c r="J46">
        <v>1.3434699999999999</v>
      </c>
      <c r="K46">
        <v>1.0600399999999999</v>
      </c>
      <c r="L46">
        <v>1.36808</v>
      </c>
      <c r="M46">
        <v>1.0622099999999999</v>
      </c>
      <c r="N46">
        <v>1.3282099999999999</v>
      </c>
      <c r="O46">
        <v>1.0807500000000001</v>
      </c>
      <c r="P46">
        <v>1.31029</v>
      </c>
      <c r="Q46">
        <v>1.0584499999999999</v>
      </c>
      <c r="R46">
        <v>1.27691</v>
      </c>
      <c r="S46">
        <v>1.0567800000000001</v>
      </c>
      <c r="T46">
        <v>1.29931</v>
      </c>
      <c r="U46">
        <v>1.0623</v>
      </c>
      <c r="V46">
        <v>1.30837</v>
      </c>
      <c r="W46">
        <v>1.0635600000000001</v>
      </c>
      <c r="X46">
        <v>1.34965</v>
      </c>
      <c r="Y46">
        <v>1.0619700000000001</v>
      </c>
      <c r="Z46">
        <v>1.24854</v>
      </c>
      <c r="AA46">
        <v>1.0900700000000001</v>
      </c>
    </row>
    <row r="47" spans="1:27" x14ac:dyDescent="0.3">
      <c r="A47" s="4" t="s">
        <v>72</v>
      </c>
      <c r="B47">
        <v>1.4420000000000002</v>
      </c>
      <c r="C47">
        <v>1.0394699999999999</v>
      </c>
      <c r="D47">
        <v>1.2837400000000001</v>
      </c>
      <c r="E47">
        <v>1.0294000000000001</v>
      </c>
      <c r="F47">
        <v>1.2636799999999999</v>
      </c>
      <c r="G47">
        <v>1.0425</v>
      </c>
      <c r="H47">
        <v>1.2613300000000001</v>
      </c>
      <c r="I47">
        <v>1.0600400000000001</v>
      </c>
      <c r="J47">
        <v>1.26776</v>
      </c>
      <c r="K47">
        <v>1.15754</v>
      </c>
      <c r="L47">
        <v>1.29261</v>
      </c>
      <c r="M47">
        <v>1.1370900000000002</v>
      </c>
      <c r="N47">
        <v>1.30382</v>
      </c>
      <c r="O47">
        <v>1.1140699999999999</v>
      </c>
      <c r="P47">
        <v>1.3050900000000001</v>
      </c>
      <c r="Q47">
        <v>1.0982999999999998</v>
      </c>
      <c r="R47">
        <v>1.2843100000000001</v>
      </c>
      <c r="S47">
        <v>1.2078</v>
      </c>
      <c r="T47">
        <v>1.2634300000000001</v>
      </c>
      <c r="U47">
        <v>1.21349</v>
      </c>
      <c r="V47">
        <v>1.2508900000000001</v>
      </c>
      <c r="W47">
        <v>1.1476599999999999</v>
      </c>
      <c r="X47">
        <v>1.2398100000000001</v>
      </c>
      <c r="Y47">
        <v>1.1448100000000001</v>
      </c>
      <c r="Z47">
        <v>1.13907</v>
      </c>
      <c r="AA47">
        <v>1.1736599999999999</v>
      </c>
    </row>
    <row r="48" spans="1:27" ht="28.8" x14ac:dyDescent="0.3">
      <c r="A48" s="4" t="s">
        <v>73</v>
      </c>
      <c r="B48">
        <v>1.6103599999999998</v>
      </c>
      <c r="C48">
        <v>1.0121600000000002</v>
      </c>
      <c r="D48">
        <v>1.58982</v>
      </c>
      <c r="E48">
        <v>1.0064599999999997</v>
      </c>
      <c r="F48">
        <v>1.5300499999999999</v>
      </c>
      <c r="G48">
        <v>1.0050999999999997</v>
      </c>
      <c r="H48">
        <v>1.55687</v>
      </c>
      <c r="I48">
        <v>1.0065999999999999</v>
      </c>
      <c r="J48">
        <v>1.5501400000000001</v>
      </c>
      <c r="K48">
        <v>1.0122300000000002</v>
      </c>
      <c r="L48">
        <v>1.4960899999999999</v>
      </c>
      <c r="M48">
        <v>1.0073099999999999</v>
      </c>
      <c r="N48">
        <v>1.4106099999999999</v>
      </c>
      <c r="O48">
        <v>1.0060899999999999</v>
      </c>
      <c r="P48">
        <v>1.4256500000000001</v>
      </c>
      <c r="Q48">
        <v>1.0414400000000001</v>
      </c>
      <c r="R48">
        <v>1.42746</v>
      </c>
      <c r="S48">
        <v>1.0426099999999998</v>
      </c>
      <c r="T48">
        <v>1.40082</v>
      </c>
      <c r="U48">
        <v>1.0397400000000001</v>
      </c>
      <c r="V48">
        <v>1.4472499999999999</v>
      </c>
      <c r="W48">
        <v>1.0261899999999999</v>
      </c>
      <c r="X48">
        <v>1.4270700000000001</v>
      </c>
      <c r="Y48">
        <v>1.0269200000000001</v>
      </c>
      <c r="Z48">
        <v>1.45706</v>
      </c>
      <c r="AA48">
        <v>1.0340499999999999</v>
      </c>
    </row>
    <row r="49" spans="1:27" ht="28.8" x14ac:dyDescent="0.3">
      <c r="A49" s="4" t="s">
        <v>74</v>
      </c>
      <c r="B49">
        <v>1.8740399999999999</v>
      </c>
      <c r="C49">
        <v>1.0150299999999999</v>
      </c>
      <c r="D49">
        <v>1.73766</v>
      </c>
      <c r="E49">
        <v>1.00902</v>
      </c>
      <c r="F49">
        <v>1.64133</v>
      </c>
      <c r="G49">
        <v>1.00837</v>
      </c>
      <c r="H49">
        <v>1.6376299999999999</v>
      </c>
      <c r="I49">
        <v>1.0047899999999998</v>
      </c>
      <c r="J49">
        <v>1.66455</v>
      </c>
      <c r="K49">
        <v>1.00925</v>
      </c>
      <c r="L49">
        <v>1.6393500000000001</v>
      </c>
      <c r="M49">
        <v>1.0079099999999999</v>
      </c>
      <c r="N49">
        <v>1.5617700000000001</v>
      </c>
      <c r="O49">
        <v>1.0042599999999999</v>
      </c>
      <c r="P49">
        <v>1.5960000000000001</v>
      </c>
      <c r="Q49">
        <v>1.0153100000000002</v>
      </c>
      <c r="R49">
        <v>1.6112899999999999</v>
      </c>
      <c r="S49">
        <v>1.01762</v>
      </c>
      <c r="T49">
        <v>1.6261699999999999</v>
      </c>
      <c r="U49">
        <v>1.0196099999999999</v>
      </c>
      <c r="V49">
        <v>1.6059399999999999</v>
      </c>
      <c r="W49">
        <v>1.0381699999999998</v>
      </c>
      <c r="X49">
        <v>1.5888100000000001</v>
      </c>
      <c r="Y49">
        <v>1.0379700000000001</v>
      </c>
      <c r="Z49">
        <v>1.6010800000000001</v>
      </c>
      <c r="AA49">
        <v>1.0401199999999999</v>
      </c>
    </row>
    <row r="50" spans="1:27" ht="28.8" x14ac:dyDescent="0.3">
      <c r="A50" s="4" t="s">
        <v>75</v>
      </c>
      <c r="B50">
        <v>1.7475499999999999</v>
      </c>
      <c r="C50">
        <v>1.0967899999999999</v>
      </c>
      <c r="D50">
        <v>1.63917</v>
      </c>
      <c r="E50">
        <v>1.1212800000000001</v>
      </c>
      <c r="F50">
        <v>1.55867</v>
      </c>
      <c r="G50">
        <v>1.1281899999999998</v>
      </c>
      <c r="H50">
        <v>1.52711</v>
      </c>
      <c r="I50">
        <v>1.1575500000000001</v>
      </c>
      <c r="J50">
        <v>1.5424199999999999</v>
      </c>
      <c r="K50">
        <v>1.19695</v>
      </c>
      <c r="L50">
        <v>1.5191399999999999</v>
      </c>
      <c r="M50">
        <v>1.1796199999999999</v>
      </c>
      <c r="N50">
        <v>1.4541500000000001</v>
      </c>
      <c r="O50">
        <v>1.12039</v>
      </c>
      <c r="P50">
        <v>1.4950300000000001</v>
      </c>
      <c r="Q50">
        <v>1.1389499999999999</v>
      </c>
      <c r="R50">
        <v>1.4803599999999999</v>
      </c>
      <c r="S50">
        <v>1.18049</v>
      </c>
      <c r="T50">
        <v>1.4911399999999999</v>
      </c>
      <c r="U50">
        <v>1.13941</v>
      </c>
      <c r="V50">
        <v>1.4825600000000001</v>
      </c>
      <c r="W50">
        <v>1.11748</v>
      </c>
      <c r="X50">
        <v>1.4659</v>
      </c>
      <c r="Y50">
        <v>1.11347</v>
      </c>
      <c r="Z50">
        <v>1.4846200000000001</v>
      </c>
      <c r="AA50">
        <v>1.1173</v>
      </c>
    </row>
    <row r="51" spans="1:27" ht="115.2" x14ac:dyDescent="0.3">
      <c r="A51" s="4" t="s">
        <v>76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 x14ac:dyDescent="0.3">
      <c r="A52" t="s">
        <v>77</v>
      </c>
      <c r="B52">
        <v>1.7857326000000002</v>
      </c>
      <c r="C52">
        <v>1.7857325999999998</v>
      </c>
      <c r="D52">
        <v>1.718736</v>
      </c>
      <c r="E52">
        <v>1.7187352000000007</v>
      </c>
      <c r="F52">
        <v>1.6930512000000002</v>
      </c>
      <c r="G52">
        <v>1.6930536000000003</v>
      </c>
      <c r="H52">
        <v>1.6975690000000001</v>
      </c>
      <c r="I52">
        <v>1.6975676000000002</v>
      </c>
      <c r="J52">
        <v>1.7049313999999998</v>
      </c>
      <c r="K52">
        <v>1.7049266000000003</v>
      </c>
      <c r="L52">
        <v>1.6645251999999999</v>
      </c>
      <c r="M52">
        <v>1.6645247999999992</v>
      </c>
      <c r="N52">
        <v>1.6298069999999998</v>
      </c>
      <c r="O52">
        <v>1.6298080000000001</v>
      </c>
      <c r="P52">
        <v>1.6790776000000003</v>
      </c>
      <c r="Q52">
        <v>1.6790772</v>
      </c>
      <c r="R52">
        <v>1.6857830000000005</v>
      </c>
      <c r="S52">
        <v>1.6857824000000001</v>
      </c>
      <c r="T52">
        <v>1.7043828000000003</v>
      </c>
      <c r="U52">
        <v>1.7043845999999996</v>
      </c>
      <c r="V52">
        <v>1.6958772000000004</v>
      </c>
      <c r="W52">
        <v>1.6958763999999997</v>
      </c>
      <c r="X52">
        <v>1.7033177999999998</v>
      </c>
      <c r="Y52">
        <v>1.7033132000000006</v>
      </c>
      <c r="Z52">
        <v>1.6956262000000002</v>
      </c>
      <c r="AA52">
        <v>1.6956255999999996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22DD-08E3-4B61-AF73-83ECE9525E3A}">
  <dimension ref="A1:AA53"/>
  <sheetViews>
    <sheetView topLeftCell="A40" workbookViewId="0">
      <selection activeCell="Z1" sqref="Z1:Z51"/>
    </sheetView>
  </sheetViews>
  <sheetFormatPr defaultRowHeight="14.4" x14ac:dyDescent="0.3"/>
  <cols>
    <col min="1" max="1" width="25.2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>
        <v>1.4685399999999997</v>
      </c>
      <c r="C2">
        <v>4.3651100000000005</v>
      </c>
      <c r="D2">
        <v>1.3549</v>
      </c>
      <c r="E2">
        <v>3.36165</v>
      </c>
      <c r="F2">
        <v>1.3435299999999999</v>
      </c>
      <c r="G2">
        <v>3.1171299999999995</v>
      </c>
      <c r="H2">
        <v>1.3462000000000001</v>
      </c>
      <c r="I2">
        <v>3.1281700000000003</v>
      </c>
      <c r="J2">
        <v>1.34673</v>
      </c>
      <c r="K2">
        <v>3.1377700000000006</v>
      </c>
      <c r="L2">
        <v>1.3562099999999999</v>
      </c>
      <c r="M2">
        <v>3.1536899999999992</v>
      </c>
      <c r="N2">
        <v>1.3207599999999999</v>
      </c>
      <c r="O2">
        <v>2.5602999999999989</v>
      </c>
      <c r="P2">
        <v>1.2746200000000001</v>
      </c>
      <c r="Q2">
        <v>2.53315</v>
      </c>
      <c r="R2">
        <v>1.26359</v>
      </c>
      <c r="S2">
        <v>2.4862199999999994</v>
      </c>
      <c r="T2">
        <v>1.2719499999999999</v>
      </c>
      <c r="U2">
        <v>2.6215799999999994</v>
      </c>
      <c r="V2">
        <v>1.27481</v>
      </c>
      <c r="W2">
        <v>2.6196700000000011</v>
      </c>
      <c r="X2">
        <v>1.2684899999999999</v>
      </c>
      <c r="Y2">
        <v>2.3997099999999998</v>
      </c>
      <c r="Z2">
        <v>1.2983800000000001</v>
      </c>
      <c r="AA2">
        <v>2.4005000000000014</v>
      </c>
    </row>
    <row r="3" spans="1:27" x14ac:dyDescent="0.3">
      <c r="A3" t="s">
        <v>28</v>
      </c>
      <c r="B3">
        <v>1.2562899999999999</v>
      </c>
      <c r="C3">
        <v>2.0109400000000002</v>
      </c>
      <c r="D3">
        <v>1.27105</v>
      </c>
      <c r="E3">
        <v>1.6017400000000004</v>
      </c>
      <c r="F3">
        <v>1.24912</v>
      </c>
      <c r="G3">
        <v>1.65648</v>
      </c>
      <c r="H3">
        <v>1.2342500000000001</v>
      </c>
      <c r="I3">
        <v>1.6655399999999994</v>
      </c>
      <c r="J3">
        <v>1.2437800000000001</v>
      </c>
      <c r="K3">
        <v>1.4319700000000004</v>
      </c>
      <c r="L3">
        <v>1.26806</v>
      </c>
      <c r="M3">
        <v>1.3848000000000007</v>
      </c>
      <c r="N3">
        <v>1.23935</v>
      </c>
      <c r="O3">
        <v>1.7318400000000007</v>
      </c>
      <c r="P3">
        <v>1.2256899999999999</v>
      </c>
      <c r="Q3">
        <v>1.7200800000000007</v>
      </c>
      <c r="R3">
        <v>1.2049799999999999</v>
      </c>
      <c r="S3">
        <v>1.6471800000000008</v>
      </c>
      <c r="T3">
        <v>1.22082</v>
      </c>
      <c r="U3">
        <v>1.72088</v>
      </c>
      <c r="V3">
        <v>1.1983999999999999</v>
      </c>
      <c r="W3">
        <v>2.1672400000000009</v>
      </c>
      <c r="X3">
        <v>1.18133</v>
      </c>
      <c r="Y3">
        <v>2.0072899999999998</v>
      </c>
      <c r="Z3">
        <v>1.2124600000000001</v>
      </c>
      <c r="AA3">
        <v>1.9837699999999994</v>
      </c>
    </row>
    <row r="4" spans="1:27" x14ac:dyDescent="0.3">
      <c r="A4" t="s">
        <v>29</v>
      </c>
      <c r="B4">
        <v>1.3650000000000004</v>
      </c>
      <c r="C4">
        <v>1.1498099999999989</v>
      </c>
      <c r="D4">
        <v>1.19102</v>
      </c>
      <c r="E4">
        <v>1.0487699999999991</v>
      </c>
      <c r="F4">
        <v>1.15994</v>
      </c>
      <c r="G4">
        <v>1.0573500000000007</v>
      </c>
      <c r="H4">
        <v>1.1375</v>
      </c>
      <c r="I4">
        <v>1.0450499999999996</v>
      </c>
      <c r="J4">
        <v>1.1193599999999999</v>
      </c>
      <c r="K4">
        <v>1.0470399999999995</v>
      </c>
      <c r="L4">
        <v>1.10012</v>
      </c>
      <c r="M4">
        <v>1.0779600000000003</v>
      </c>
      <c r="N4">
        <v>1.1129500000000001</v>
      </c>
      <c r="O4">
        <v>1.0468700000000009</v>
      </c>
      <c r="P4">
        <v>1.17747</v>
      </c>
      <c r="Q4">
        <v>1.0508600000000001</v>
      </c>
      <c r="R4">
        <v>1.1636599999999999</v>
      </c>
      <c r="S4">
        <v>1.0484499999999997</v>
      </c>
      <c r="T4">
        <v>1.17665</v>
      </c>
      <c r="U4">
        <v>1.0556099999999997</v>
      </c>
      <c r="V4">
        <v>1.1934199999999999</v>
      </c>
      <c r="W4">
        <v>1.0965500000000006</v>
      </c>
      <c r="X4">
        <v>1.18085</v>
      </c>
      <c r="Y4">
        <v>1.0775200000000005</v>
      </c>
      <c r="Z4">
        <v>1.2021900000000001</v>
      </c>
      <c r="AA4">
        <v>1.0724800000000003</v>
      </c>
    </row>
    <row r="5" spans="1:27" x14ac:dyDescent="0.3">
      <c r="A5" t="s">
        <v>30</v>
      </c>
      <c r="B5">
        <v>1.49719</v>
      </c>
      <c r="C5">
        <v>1.5292000000000001</v>
      </c>
      <c r="D5">
        <v>1.6324099999999999</v>
      </c>
      <c r="E5">
        <v>1.4566800000000009</v>
      </c>
      <c r="F5">
        <v>1.5994999999999999</v>
      </c>
      <c r="G5">
        <v>1.4640100000000005</v>
      </c>
      <c r="H5">
        <v>1.62636</v>
      </c>
      <c r="I5">
        <v>1.4282699999999997</v>
      </c>
      <c r="J5">
        <v>1.6176600000000001</v>
      </c>
      <c r="K5">
        <v>1.4564099999999991</v>
      </c>
      <c r="L5">
        <v>1.55267</v>
      </c>
      <c r="M5">
        <v>1.4684300000000003</v>
      </c>
      <c r="N5">
        <v>1.4985999999999999</v>
      </c>
      <c r="O5">
        <v>1.3907199999999991</v>
      </c>
      <c r="P5">
        <v>1.5297499999999999</v>
      </c>
      <c r="Q5">
        <v>1.4034199999999994</v>
      </c>
      <c r="R5">
        <v>1.4834700000000001</v>
      </c>
      <c r="S5">
        <v>1.4098000000000002</v>
      </c>
      <c r="T5">
        <v>1.51325</v>
      </c>
      <c r="U5">
        <v>1.4085900000000013</v>
      </c>
      <c r="V5">
        <v>1.5845400000000001</v>
      </c>
      <c r="W5">
        <v>1.412810000000001</v>
      </c>
      <c r="X5">
        <v>1.4518800000000001</v>
      </c>
      <c r="Y5">
        <v>1.3809699999999998</v>
      </c>
      <c r="Z5">
        <v>1.42611</v>
      </c>
      <c r="AA5">
        <v>1.3908999999999994</v>
      </c>
    </row>
    <row r="6" spans="1:27" x14ac:dyDescent="0.3">
      <c r="A6" t="s">
        <v>31</v>
      </c>
      <c r="B6">
        <v>1.6392799999999998</v>
      </c>
      <c r="C6">
        <v>2.15036</v>
      </c>
      <c r="D6">
        <v>1.5864100000000001</v>
      </c>
      <c r="E6">
        <v>1.9912100000000004</v>
      </c>
      <c r="F6">
        <v>1.5826499999999999</v>
      </c>
      <c r="G6">
        <v>1.9353099999999999</v>
      </c>
      <c r="H6">
        <v>1.57867</v>
      </c>
      <c r="I6">
        <v>1.9555800000000001</v>
      </c>
      <c r="J6">
        <v>1.5176700000000001</v>
      </c>
      <c r="K6">
        <v>1.8187300000000006</v>
      </c>
      <c r="L6">
        <v>1.4503200000000001</v>
      </c>
      <c r="M6">
        <v>1.6957000000000004</v>
      </c>
      <c r="N6">
        <v>1.38368</v>
      </c>
      <c r="O6">
        <v>1.7633300000000007</v>
      </c>
      <c r="P6">
        <v>1.39222</v>
      </c>
      <c r="Q6">
        <v>1.3844200000000004</v>
      </c>
      <c r="R6">
        <v>1.27443</v>
      </c>
      <c r="S6">
        <v>1.3782200000000007</v>
      </c>
      <c r="T6">
        <v>1.2524</v>
      </c>
      <c r="U6">
        <v>1.3447300000000004</v>
      </c>
      <c r="V6">
        <v>1.30765</v>
      </c>
      <c r="W6">
        <v>1.4002600000000001</v>
      </c>
      <c r="X6">
        <v>1.2908999999999999</v>
      </c>
      <c r="Y6">
        <v>1.3395900000000009</v>
      </c>
      <c r="Z6">
        <v>1.30376</v>
      </c>
      <c r="AA6">
        <v>1.3254800000000004</v>
      </c>
    </row>
    <row r="7" spans="1:27" x14ac:dyDescent="0.3">
      <c r="A7" t="s">
        <v>32</v>
      </c>
      <c r="B7">
        <v>1.4739199999999997</v>
      </c>
      <c r="C7">
        <v>1.38504</v>
      </c>
      <c r="D7">
        <v>1.54677</v>
      </c>
      <c r="E7">
        <v>1.2675699999999994</v>
      </c>
      <c r="F7">
        <v>1.52393</v>
      </c>
      <c r="G7">
        <v>1.2923399999999998</v>
      </c>
      <c r="H7">
        <v>1.7212000000000001</v>
      </c>
      <c r="I7">
        <v>1.4378999999999995</v>
      </c>
      <c r="J7">
        <v>1.6767700000000001</v>
      </c>
      <c r="K7">
        <v>1.4981899999999995</v>
      </c>
      <c r="L7">
        <v>1.6914899999999999</v>
      </c>
      <c r="M7">
        <v>1.3974500000000003</v>
      </c>
      <c r="N7">
        <v>1.66683</v>
      </c>
      <c r="O7">
        <v>1.4899500000000006</v>
      </c>
      <c r="P7">
        <v>1.77074</v>
      </c>
      <c r="Q7">
        <v>1.6097800000000004</v>
      </c>
      <c r="R7">
        <v>1.7288699999999999</v>
      </c>
      <c r="S7">
        <v>1.5658299999999994</v>
      </c>
      <c r="T7">
        <v>1.7738100000000001</v>
      </c>
      <c r="U7">
        <v>1.5361</v>
      </c>
      <c r="V7">
        <v>1.6328100000000001</v>
      </c>
      <c r="W7">
        <v>1.6484199999999993</v>
      </c>
      <c r="X7">
        <v>1.5836699999999999</v>
      </c>
      <c r="Y7">
        <v>1.7124100000000004</v>
      </c>
      <c r="Z7">
        <v>1.6447499999999999</v>
      </c>
      <c r="AA7">
        <v>1.7281099999999998</v>
      </c>
    </row>
    <row r="8" spans="1:27" x14ac:dyDescent="0.3">
      <c r="A8" t="s">
        <v>33</v>
      </c>
      <c r="B8">
        <v>1.61686</v>
      </c>
      <c r="C8">
        <v>1.0324500000000001</v>
      </c>
      <c r="D8">
        <v>1.55358</v>
      </c>
      <c r="E8">
        <v>1.0344599999999997</v>
      </c>
      <c r="F8">
        <v>1.56816</v>
      </c>
      <c r="G8">
        <v>1.0389500000000005</v>
      </c>
      <c r="H8">
        <v>1.7947200000000001</v>
      </c>
      <c r="I8">
        <v>1.0513700000000004</v>
      </c>
      <c r="J8">
        <v>1.75322</v>
      </c>
      <c r="K8">
        <v>1.0421800000000003</v>
      </c>
      <c r="L8">
        <v>1.6738599999999999</v>
      </c>
      <c r="M8">
        <v>1.0531000000000001</v>
      </c>
      <c r="N8">
        <v>1.63036</v>
      </c>
      <c r="O8">
        <v>1.1115200000000007</v>
      </c>
      <c r="P8">
        <v>1.7833000000000001</v>
      </c>
      <c r="Q8">
        <v>1.1073200000000003</v>
      </c>
      <c r="R8">
        <v>1.81775</v>
      </c>
      <c r="S8">
        <v>1.0949199999999999</v>
      </c>
      <c r="T8">
        <v>1.7640499999999999</v>
      </c>
      <c r="U8">
        <v>1.0822199999999993</v>
      </c>
      <c r="V8">
        <v>1.6313599999999999</v>
      </c>
      <c r="W8">
        <v>1.072550000000001</v>
      </c>
      <c r="X8">
        <v>1.5684199999999999</v>
      </c>
      <c r="Y8">
        <v>1.0859799999999999</v>
      </c>
      <c r="Z8">
        <v>1.5645800000000001</v>
      </c>
      <c r="AA8">
        <v>1.0904500000000006</v>
      </c>
    </row>
    <row r="9" spans="1:27" x14ac:dyDescent="0.3">
      <c r="A9" t="s">
        <v>34</v>
      </c>
      <c r="B9">
        <v>1.2150200000000002</v>
      </c>
      <c r="C9">
        <v>1.4350100000000001</v>
      </c>
      <c r="D9">
        <v>1.1967000000000001</v>
      </c>
      <c r="E9">
        <v>1.3854200000000001</v>
      </c>
      <c r="F9">
        <v>1.16858</v>
      </c>
      <c r="G9">
        <v>1.3814500000000003</v>
      </c>
      <c r="H9">
        <v>1.1631800000000001</v>
      </c>
      <c r="I9">
        <v>1.3279000000000001</v>
      </c>
      <c r="J9">
        <v>1.2023299999999999</v>
      </c>
      <c r="K9">
        <v>1.4117099999999998</v>
      </c>
      <c r="L9">
        <v>1.3372299999999999</v>
      </c>
      <c r="M9">
        <v>1.49918</v>
      </c>
      <c r="N9">
        <v>1.28607</v>
      </c>
      <c r="O9">
        <v>1.5562200000000002</v>
      </c>
      <c r="P9">
        <v>1.2936300000000001</v>
      </c>
      <c r="Q9">
        <v>1.5772199999999998</v>
      </c>
      <c r="R9">
        <v>1.27406</v>
      </c>
      <c r="S9">
        <v>1.6264499999999995</v>
      </c>
      <c r="T9">
        <v>1.3352999999999999</v>
      </c>
      <c r="U9">
        <v>1.6525099999999999</v>
      </c>
      <c r="V9">
        <v>1.46329</v>
      </c>
      <c r="W9">
        <v>1.7277900000000004</v>
      </c>
      <c r="X9">
        <v>1.4426300000000001</v>
      </c>
      <c r="Y9">
        <v>1.6005399999999999</v>
      </c>
      <c r="Z9">
        <v>1.47621</v>
      </c>
      <c r="AA9">
        <v>1.6877000000000004</v>
      </c>
    </row>
    <row r="10" spans="1:27" x14ac:dyDescent="0.3">
      <c r="A10" t="s">
        <v>35</v>
      </c>
      <c r="B10">
        <v>2.10216</v>
      </c>
      <c r="C10">
        <v>1.7926000000000011</v>
      </c>
      <c r="D10">
        <v>2.1418499999999998</v>
      </c>
      <c r="E10">
        <v>1.6714499999999994</v>
      </c>
      <c r="F10">
        <v>2.1135700000000002</v>
      </c>
      <c r="G10">
        <v>1.3967499999999999</v>
      </c>
      <c r="H10">
        <v>2.15232</v>
      </c>
      <c r="I10">
        <v>1.5396500000000004</v>
      </c>
      <c r="J10">
        <v>2.2023899999999998</v>
      </c>
      <c r="K10">
        <v>1.5606799999999994</v>
      </c>
      <c r="L10">
        <v>2.19191</v>
      </c>
      <c r="M10">
        <v>1.5051099999999991</v>
      </c>
      <c r="N10">
        <v>2.2582800000000001</v>
      </c>
      <c r="O10">
        <v>1.7472300000000003</v>
      </c>
      <c r="P10">
        <v>2.22105</v>
      </c>
      <c r="Q10">
        <v>1.5614299999999997</v>
      </c>
      <c r="R10">
        <v>2.2250100000000002</v>
      </c>
      <c r="S10">
        <v>1.5491699999999999</v>
      </c>
      <c r="T10">
        <v>2.2821899999999999</v>
      </c>
      <c r="U10">
        <v>1.5827499999999997</v>
      </c>
      <c r="V10">
        <v>2.1837900000000001</v>
      </c>
      <c r="W10">
        <v>1.8060900000000004</v>
      </c>
      <c r="X10">
        <v>2.2159300000000002</v>
      </c>
      <c r="Y10">
        <v>1.8195500000000009</v>
      </c>
      <c r="Z10">
        <v>2.23752</v>
      </c>
      <c r="AA10">
        <v>1.79616</v>
      </c>
    </row>
    <row r="11" spans="1:27" x14ac:dyDescent="0.3">
      <c r="A11" t="s">
        <v>36</v>
      </c>
      <c r="B11">
        <v>2.2009900000000004</v>
      </c>
      <c r="C11">
        <v>1.7814900000000007</v>
      </c>
      <c r="D11">
        <v>2.1567799999999999</v>
      </c>
      <c r="E11">
        <v>1.7225499999999996</v>
      </c>
      <c r="F11">
        <v>2.1019700000000001</v>
      </c>
      <c r="G11">
        <v>1.6055799999999998</v>
      </c>
      <c r="H11">
        <v>2.1107300000000002</v>
      </c>
      <c r="I11">
        <v>1.8173700000000004</v>
      </c>
      <c r="J11">
        <v>2.1381399999999999</v>
      </c>
      <c r="K11">
        <v>1.8971000000000002</v>
      </c>
      <c r="L11">
        <v>2.0838700000000001</v>
      </c>
      <c r="M11">
        <v>1.9089899999999993</v>
      </c>
      <c r="N11">
        <v>2.0493000000000001</v>
      </c>
      <c r="O11">
        <v>1.8010199999999996</v>
      </c>
      <c r="P11">
        <v>2.0951200000000001</v>
      </c>
      <c r="Q11">
        <v>1.8027300000000011</v>
      </c>
      <c r="R11">
        <v>2.0831200000000001</v>
      </c>
      <c r="S11">
        <v>1.6606299999999998</v>
      </c>
      <c r="T11">
        <v>2.1044800000000001</v>
      </c>
      <c r="U11">
        <v>1.6240299999999996</v>
      </c>
      <c r="V11">
        <v>2.1107399999999998</v>
      </c>
      <c r="W11">
        <v>1.5427</v>
      </c>
      <c r="X11">
        <v>2.1415199999999999</v>
      </c>
      <c r="Y11">
        <v>1.6211</v>
      </c>
      <c r="Z11">
        <v>2.1797200000000001</v>
      </c>
      <c r="AA11">
        <v>1.6552900000000002</v>
      </c>
    </row>
    <row r="12" spans="1:27" x14ac:dyDescent="0.3">
      <c r="A12" t="s">
        <v>37</v>
      </c>
      <c r="B12">
        <v>1.88083</v>
      </c>
      <c r="C12">
        <v>1.1451900000000008</v>
      </c>
      <c r="D12">
        <v>1.9114500000000001</v>
      </c>
      <c r="E12">
        <v>1.2953100000000004</v>
      </c>
      <c r="F12">
        <v>1.89272</v>
      </c>
      <c r="G12">
        <v>1.4874000000000005</v>
      </c>
      <c r="H12">
        <v>1.9474</v>
      </c>
      <c r="I12">
        <v>1.2406599999999997</v>
      </c>
      <c r="J12">
        <v>1.9396800000000001</v>
      </c>
      <c r="K12">
        <v>1.3969399999999998</v>
      </c>
      <c r="L12">
        <v>1.95661</v>
      </c>
      <c r="M12">
        <v>1.3960799999999995</v>
      </c>
      <c r="N12">
        <v>1.8619600000000001</v>
      </c>
      <c r="O12">
        <v>1.3503999999999998</v>
      </c>
      <c r="P12">
        <v>1.7376799999999999</v>
      </c>
      <c r="Q12">
        <v>1.3211900000000005</v>
      </c>
      <c r="R12">
        <v>1.6868799999999999</v>
      </c>
      <c r="S12">
        <v>1.5232899999999996</v>
      </c>
      <c r="T12">
        <v>1.6127</v>
      </c>
      <c r="U12">
        <v>1.38717</v>
      </c>
      <c r="V12">
        <v>1.53694</v>
      </c>
      <c r="W12">
        <v>1.2101499999999998</v>
      </c>
      <c r="X12">
        <v>1.5610900000000001</v>
      </c>
      <c r="Y12">
        <v>1.2041299999999993</v>
      </c>
      <c r="Z12">
        <v>1.5851900000000001</v>
      </c>
      <c r="AA12">
        <v>1.2002700000000002</v>
      </c>
    </row>
    <row r="13" spans="1:27" x14ac:dyDescent="0.3">
      <c r="A13" t="s">
        <v>38</v>
      </c>
      <c r="B13">
        <v>2.1123099999999995</v>
      </c>
      <c r="C13">
        <v>2.0407299999999995</v>
      </c>
      <c r="D13">
        <v>2.1156199999999998</v>
      </c>
      <c r="E13">
        <v>2.1897300000000008</v>
      </c>
      <c r="F13">
        <v>2.1105200000000002</v>
      </c>
      <c r="G13">
        <v>2.04271</v>
      </c>
      <c r="H13">
        <v>2.0885899999999999</v>
      </c>
      <c r="I13">
        <v>1.8824699999999999</v>
      </c>
      <c r="J13">
        <v>2.2223700000000002</v>
      </c>
      <c r="K13">
        <v>2.0910000000000006</v>
      </c>
      <c r="L13">
        <v>2.0727699999999998</v>
      </c>
      <c r="M13">
        <v>2.0352599999999996</v>
      </c>
      <c r="N13">
        <v>1.96505</v>
      </c>
      <c r="O13">
        <v>1.72129</v>
      </c>
      <c r="P13">
        <v>1.9570399999999999</v>
      </c>
      <c r="Q13">
        <v>1.65754</v>
      </c>
      <c r="R13">
        <v>1.9776</v>
      </c>
      <c r="S13">
        <v>1.7517699999999998</v>
      </c>
      <c r="T13">
        <v>2.0646900000000001</v>
      </c>
      <c r="U13">
        <v>1.7290299999999998</v>
      </c>
      <c r="V13">
        <v>2.0377200000000002</v>
      </c>
      <c r="W13">
        <v>1.7157100000000001</v>
      </c>
      <c r="X13">
        <v>2.1458599999999999</v>
      </c>
      <c r="Y13">
        <v>1.8034600000000001</v>
      </c>
      <c r="Z13">
        <v>2.1641300000000001</v>
      </c>
      <c r="AA13">
        <v>1.8449500000000001</v>
      </c>
    </row>
    <row r="14" spans="1:27" x14ac:dyDescent="0.3">
      <c r="A14" t="s">
        <v>39</v>
      </c>
      <c r="B14">
        <v>1.6947400000000006</v>
      </c>
      <c r="C14">
        <v>5.3925599999999996</v>
      </c>
      <c r="D14">
        <v>1.6154500000000001</v>
      </c>
      <c r="E14">
        <v>6.2016600000000013</v>
      </c>
      <c r="F14">
        <v>1.4274500000000001</v>
      </c>
      <c r="G14">
        <v>5.5006799999999991</v>
      </c>
      <c r="H14">
        <v>1.4036599999999999</v>
      </c>
      <c r="I14">
        <v>5.5046399999999984</v>
      </c>
      <c r="J14">
        <v>1.3497600000000001</v>
      </c>
      <c r="K14">
        <v>4.7438500000000001</v>
      </c>
      <c r="L14">
        <v>1.4178299999999999</v>
      </c>
      <c r="M14">
        <v>3.1643499999999989</v>
      </c>
      <c r="N14">
        <v>1.4680800000000001</v>
      </c>
      <c r="O14">
        <v>3.1410400000000003</v>
      </c>
      <c r="P14">
        <v>1.3303199999999999</v>
      </c>
      <c r="Q14">
        <v>2.7581600000000006</v>
      </c>
      <c r="R14">
        <v>1.30603</v>
      </c>
      <c r="S14">
        <v>3.1983500000000005</v>
      </c>
      <c r="T14">
        <v>1.24366</v>
      </c>
      <c r="U14">
        <v>3.0118600000000009</v>
      </c>
      <c r="V14">
        <v>1.3781000000000001</v>
      </c>
      <c r="W14">
        <v>2.6568299999999994</v>
      </c>
      <c r="X14">
        <v>1.36589</v>
      </c>
      <c r="Y14">
        <v>3.1318400000000013</v>
      </c>
      <c r="Z14">
        <v>1.27149</v>
      </c>
      <c r="AA14">
        <v>2.8101600000000002</v>
      </c>
    </row>
    <row r="15" spans="1:27" x14ac:dyDescent="0.3">
      <c r="A15" t="s">
        <v>40</v>
      </c>
      <c r="B15">
        <v>2.0628400000000009</v>
      </c>
      <c r="C15">
        <v>2.4739899999999997</v>
      </c>
      <c r="D15">
        <v>2.0472299999999999</v>
      </c>
      <c r="E15">
        <v>2.6078799999999998</v>
      </c>
      <c r="F15">
        <v>1.9783500000000001</v>
      </c>
      <c r="G15">
        <v>2.5366500000000007</v>
      </c>
      <c r="H15">
        <v>1.9913799999999999</v>
      </c>
      <c r="I15">
        <v>2.4841799999999994</v>
      </c>
      <c r="J15">
        <v>2.0270800000000002</v>
      </c>
      <c r="K15">
        <v>2.741359999999998</v>
      </c>
      <c r="L15">
        <v>1.92204</v>
      </c>
      <c r="M15">
        <v>2.8419600000000007</v>
      </c>
      <c r="N15">
        <v>1.8317399999999999</v>
      </c>
      <c r="O15">
        <v>2.6516999999999995</v>
      </c>
      <c r="P15">
        <v>1.82721</v>
      </c>
      <c r="Q15">
        <v>2.6967600000000003</v>
      </c>
      <c r="R15">
        <v>1.89716</v>
      </c>
      <c r="S15">
        <v>2.6179600000000001</v>
      </c>
      <c r="T15">
        <v>2.0068199999999998</v>
      </c>
      <c r="U15">
        <v>2.66161</v>
      </c>
      <c r="V15">
        <v>2.0474700000000001</v>
      </c>
      <c r="W15">
        <v>2.5601900000000009</v>
      </c>
      <c r="X15">
        <v>2.05579</v>
      </c>
      <c r="Y15">
        <v>2.5686499999999994</v>
      </c>
      <c r="Z15">
        <v>1.9686999999999999</v>
      </c>
      <c r="AA15">
        <v>2.5812000000000008</v>
      </c>
    </row>
    <row r="16" spans="1:27" x14ac:dyDescent="0.3">
      <c r="A16" t="s">
        <v>41</v>
      </c>
      <c r="B16">
        <v>1.9141500000000002</v>
      </c>
      <c r="C16">
        <v>1.6103699999999999</v>
      </c>
      <c r="D16">
        <v>1.8622099999999999</v>
      </c>
      <c r="E16">
        <v>1.6818799999999994</v>
      </c>
      <c r="F16">
        <v>1.8771800000000001</v>
      </c>
      <c r="G16">
        <v>1.59782</v>
      </c>
      <c r="H16">
        <v>1.8474200000000001</v>
      </c>
      <c r="I16">
        <v>1.5680999999999996</v>
      </c>
      <c r="J16">
        <v>1.8591</v>
      </c>
      <c r="K16">
        <v>1.5919100000000004</v>
      </c>
      <c r="L16">
        <v>1.7923</v>
      </c>
      <c r="M16">
        <v>1.6720199999999996</v>
      </c>
      <c r="N16">
        <v>1.67781</v>
      </c>
      <c r="O16">
        <v>1.5765100000000001</v>
      </c>
      <c r="P16">
        <v>1.7411099999999999</v>
      </c>
      <c r="Q16">
        <v>1.5171899999999998</v>
      </c>
      <c r="R16">
        <v>1.88947</v>
      </c>
      <c r="S16">
        <v>1.4272800000000001</v>
      </c>
      <c r="T16">
        <v>2.0752799999999998</v>
      </c>
      <c r="U16">
        <v>1.3167499999999994</v>
      </c>
      <c r="V16">
        <v>2.0421399999999998</v>
      </c>
      <c r="W16">
        <v>1.3583800000000001</v>
      </c>
      <c r="X16">
        <v>2.0804100000000001</v>
      </c>
      <c r="Y16">
        <v>1.3542300000000003</v>
      </c>
      <c r="Z16">
        <v>2.1252499999999999</v>
      </c>
      <c r="AA16">
        <v>1.3714600000000006</v>
      </c>
    </row>
    <row r="17" spans="1:27" x14ac:dyDescent="0.3">
      <c r="A17" t="s">
        <v>42</v>
      </c>
      <c r="B17">
        <v>2.01294</v>
      </c>
      <c r="C17">
        <v>1.5829900000000006</v>
      </c>
      <c r="D17">
        <v>2.09849</v>
      </c>
      <c r="E17">
        <v>1.5505499999999999</v>
      </c>
      <c r="F17">
        <v>2.1274199999999999</v>
      </c>
      <c r="G17">
        <v>1.5876000000000003</v>
      </c>
      <c r="H17">
        <v>2.1378400000000002</v>
      </c>
      <c r="I17">
        <v>1.7716299999999998</v>
      </c>
      <c r="J17">
        <v>2.1250300000000002</v>
      </c>
      <c r="K17">
        <v>1.60046</v>
      </c>
      <c r="L17">
        <v>2.0023</v>
      </c>
      <c r="M17">
        <v>1.6303699999999994</v>
      </c>
      <c r="N17">
        <v>1.77799</v>
      </c>
      <c r="O17">
        <v>1.7455199999999997</v>
      </c>
      <c r="P17">
        <v>1.93414</v>
      </c>
      <c r="Q17">
        <v>1.5982600000000005</v>
      </c>
      <c r="R17">
        <v>2.08203</v>
      </c>
      <c r="S17">
        <v>1.5820699999999992</v>
      </c>
      <c r="T17">
        <v>2.2176900000000002</v>
      </c>
      <c r="U17">
        <v>1.5832399999999998</v>
      </c>
      <c r="V17">
        <v>2.14757</v>
      </c>
      <c r="W17">
        <v>1.73177</v>
      </c>
      <c r="X17">
        <v>2.1849400000000001</v>
      </c>
      <c r="Y17">
        <v>1.7449500000000002</v>
      </c>
      <c r="Z17">
        <v>2.1639300000000001</v>
      </c>
      <c r="AA17">
        <v>1.7440300000000006</v>
      </c>
    </row>
    <row r="18" spans="1:27" x14ac:dyDescent="0.3">
      <c r="A18" t="s">
        <v>43</v>
      </c>
      <c r="B18">
        <v>1.8455900000000007</v>
      </c>
      <c r="C18">
        <v>1.4045499999999997</v>
      </c>
      <c r="D18">
        <v>1.7383599999999999</v>
      </c>
      <c r="E18">
        <v>1.5217999999999996</v>
      </c>
      <c r="F18">
        <v>1.73499</v>
      </c>
      <c r="G18">
        <v>1.6157900000000003</v>
      </c>
      <c r="H18">
        <v>1.7673099999999999</v>
      </c>
      <c r="I18">
        <v>1.50526</v>
      </c>
      <c r="J18">
        <v>1.71038</v>
      </c>
      <c r="K18">
        <v>1.4081900000000005</v>
      </c>
      <c r="L18">
        <v>1.7424500000000001</v>
      </c>
      <c r="M18">
        <v>1.44899</v>
      </c>
      <c r="N18">
        <v>1.76546</v>
      </c>
      <c r="O18">
        <v>1.4589699999999997</v>
      </c>
      <c r="P18">
        <v>1.68144</v>
      </c>
      <c r="Q18">
        <v>1.6917899999999995</v>
      </c>
      <c r="R18">
        <v>1.80847</v>
      </c>
      <c r="S18">
        <v>1.71818</v>
      </c>
      <c r="T18">
        <v>1.8728800000000001</v>
      </c>
      <c r="U18">
        <v>1.6967800000000004</v>
      </c>
      <c r="V18">
        <v>1.8701700000000001</v>
      </c>
      <c r="W18">
        <v>1.6953100000000005</v>
      </c>
      <c r="X18">
        <v>1.8688499999999999</v>
      </c>
      <c r="Y18">
        <v>1.6927200000000002</v>
      </c>
      <c r="Z18">
        <v>1.8503099999999999</v>
      </c>
      <c r="AA18">
        <v>1.6572299999999998</v>
      </c>
    </row>
    <row r="19" spans="1:27" x14ac:dyDescent="0.3">
      <c r="A19" t="s">
        <v>44</v>
      </c>
      <c r="B19">
        <v>1.9941600000000002</v>
      </c>
      <c r="C19">
        <v>3.2862700000000005</v>
      </c>
      <c r="D19">
        <v>1.7341599999999999</v>
      </c>
      <c r="E19">
        <v>3.1530099999999992</v>
      </c>
      <c r="F19">
        <v>1.7508600000000001</v>
      </c>
      <c r="G19">
        <v>3.25664</v>
      </c>
      <c r="H19">
        <v>1.8319099999999999</v>
      </c>
      <c r="I19">
        <v>3.3685900000000002</v>
      </c>
      <c r="J19">
        <v>1.9012500000000001</v>
      </c>
      <c r="K19">
        <v>3.3077600000000005</v>
      </c>
      <c r="L19">
        <v>1.8500799999999999</v>
      </c>
      <c r="M19">
        <v>2.78931</v>
      </c>
      <c r="N19">
        <v>1.9178999999999999</v>
      </c>
      <c r="O19">
        <v>2.4777099999999992</v>
      </c>
      <c r="P19">
        <v>2.0089000000000001</v>
      </c>
      <c r="Q19">
        <v>3.8161899999999997</v>
      </c>
      <c r="R19">
        <v>2.1279400000000002</v>
      </c>
      <c r="S19">
        <v>3.9947999999999988</v>
      </c>
      <c r="T19">
        <v>2.1673399999999998</v>
      </c>
      <c r="U19">
        <v>3.9828399999999995</v>
      </c>
      <c r="V19">
        <v>2.1583000000000001</v>
      </c>
      <c r="W19">
        <v>4.149989999999999</v>
      </c>
      <c r="X19">
        <v>2.13747</v>
      </c>
      <c r="Y19">
        <v>4.5850000000000026</v>
      </c>
      <c r="Z19">
        <v>2.2127699999999999</v>
      </c>
      <c r="AA19">
        <v>4.6667599999999991</v>
      </c>
    </row>
    <row r="20" spans="1:27" x14ac:dyDescent="0.3">
      <c r="A20" t="s">
        <v>45</v>
      </c>
      <c r="B20">
        <v>1.5694600000000003</v>
      </c>
      <c r="C20">
        <v>2.0396200000000007</v>
      </c>
      <c r="D20">
        <v>1.8543400000000001</v>
      </c>
      <c r="E20">
        <v>1.38845</v>
      </c>
      <c r="F20">
        <v>2.0274200000000002</v>
      </c>
      <c r="G20">
        <v>2.1122700000000001</v>
      </c>
      <c r="H20">
        <v>2.05159</v>
      </c>
      <c r="I20">
        <v>1.6378300000000001</v>
      </c>
      <c r="J20">
        <v>1.87982</v>
      </c>
      <c r="K20">
        <v>1.8224800000000005</v>
      </c>
      <c r="L20">
        <v>1.83355</v>
      </c>
      <c r="M20">
        <v>1.6344299999999996</v>
      </c>
      <c r="N20">
        <v>1.6319900000000001</v>
      </c>
      <c r="O20">
        <v>1.6102500000000002</v>
      </c>
      <c r="P20">
        <v>1.66299</v>
      </c>
      <c r="Q20">
        <v>1.8200399999999999</v>
      </c>
      <c r="R20">
        <v>1.8043</v>
      </c>
      <c r="S20">
        <v>1.86083</v>
      </c>
      <c r="T20">
        <v>1.8063199999999999</v>
      </c>
      <c r="U20">
        <v>1.7352799999999999</v>
      </c>
      <c r="V20">
        <v>1.91757</v>
      </c>
      <c r="W20">
        <v>1.9189800000000001</v>
      </c>
      <c r="X20">
        <v>1.8415900000000001</v>
      </c>
      <c r="Y20">
        <v>2.0567099999999994</v>
      </c>
      <c r="Z20">
        <v>1.9331400000000001</v>
      </c>
      <c r="AA20">
        <v>2.0452799999999995</v>
      </c>
    </row>
    <row r="21" spans="1:27" x14ac:dyDescent="0.3">
      <c r="A21" t="s">
        <v>46</v>
      </c>
      <c r="B21">
        <v>2.0559699999999994</v>
      </c>
      <c r="C21">
        <v>1.5833200000000001</v>
      </c>
      <c r="D21">
        <v>1.6052500000000001</v>
      </c>
      <c r="E21">
        <v>1.6526299999999998</v>
      </c>
      <c r="F21">
        <v>1.5972599999999999</v>
      </c>
      <c r="G21">
        <v>1.9827600000000005</v>
      </c>
      <c r="H21">
        <v>1.7417</v>
      </c>
      <c r="I21">
        <v>1.7030899999999995</v>
      </c>
      <c r="J21">
        <v>2.0291800000000002</v>
      </c>
      <c r="K21">
        <v>1.7556899999999998</v>
      </c>
      <c r="L21">
        <v>1.7382500000000001</v>
      </c>
      <c r="M21">
        <v>1.6893999999999998</v>
      </c>
      <c r="N21">
        <v>1.9211199999999999</v>
      </c>
      <c r="O21">
        <v>1.7882700000000002</v>
      </c>
      <c r="P21">
        <v>2.0194000000000001</v>
      </c>
      <c r="Q21">
        <v>1.6687800000000002</v>
      </c>
      <c r="R21">
        <v>2.0567099999999998</v>
      </c>
      <c r="S21">
        <v>1.5865600000000002</v>
      </c>
      <c r="T21">
        <v>2.1117699999999999</v>
      </c>
      <c r="U21">
        <v>1.9247999999999998</v>
      </c>
      <c r="V21">
        <v>2.13931</v>
      </c>
      <c r="W21">
        <v>1.6245299999999996</v>
      </c>
      <c r="X21">
        <v>2.1566000000000001</v>
      </c>
      <c r="Y21">
        <v>1.6503899999999996</v>
      </c>
      <c r="Z21">
        <v>2.21977</v>
      </c>
      <c r="AA21">
        <v>1.6177500000000005</v>
      </c>
    </row>
    <row r="22" spans="1:27" x14ac:dyDescent="0.3">
      <c r="A22" t="s">
        <v>47</v>
      </c>
      <c r="B22">
        <v>2.0426099999999994</v>
      </c>
      <c r="C22">
        <v>1.356580000000001</v>
      </c>
      <c r="D22">
        <v>1.9069700000000001</v>
      </c>
      <c r="E22">
        <v>1.2209100000000006</v>
      </c>
      <c r="F22">
        <v>1.97384</v>
      </c>
      <c r="G22">
        <v>1.21638</v>
      </c>
      <c r="H22">
        <v>1.9630700000000001</v>
      </c>
      <c r="I22">
        <v>1.1552399999999996</v>
      </c>
      <c r="J22">
        <v>2.01417</v>
      </c>
      <c r="K22">
        <v>1.1245599999999993</v>
      </c>
      <c r="L22">
        <v>1.9123000000000001</v>
      </c>
      <c r="M22">
        <v>1.1838499999999998</v>
      </c>
      <c r="N22">
        <v>1.80135</v>
      </c>
      <c r="O22">
        <v>1.3275299999999997</v>
      </c>
      <c r="P22">
        <v>2.0762499999999999</v>
      </c>
      <c r="Q22">
        <v>1.2910199999999996</v>
      </c>
      <c r="R22">
        <v>1.9479200000000001</v>
      </c>
      <c r="S22">
        <v>1.40239</v>
      </c>
      <c r="T22">
        <v>1.9578100000000001</v>
      </c>
      <c r="U22">
        <v>1.1815100000000007</v>
      </c>
      <c r="V22">
        <v>1.82321</v>
      </c>
      <c r="W22">
        <v>1.1607200000000002</v>
      </c>
      <c r="X22">
        <v>1.8853899999999999</v>
      </c>
      <c r="Y22">
        <v>1.1530100000000001</v>
      </c>
      <c r="Z22">
        <v>1.901</v>
      </c>
      <c r="AA22">
        <v>1.1245000000000005</v>
      </c>
    </row>
    <row r="23" spans="1:27" x14ac:dyDescent="0.3">
      <c r="A23" t="s">
        <v>48</v>
      </c>
      <c r="B23">
        <v>2.1331200000000003</v>
      </c>
      <c r="C23">
        <v>1.3706699999999996</v>
      </c>
      <c r="D23">
        <v>2.0193699999999999</v>
      </c>
      <c r="E23">
        <v>1.3423100000000003</v>
      </c>
      <c r="F23">
        <v>2.10371</v>
      </c>
      <c r="G23">
        <v>1.3151999999999993</v>
      </c>
      <c r="H23">
        <v>2.0774400000000002</v>
      </c>
      <c r="I23">
        <v>1.2998800000000001</v>
      </c>
      <c r="J23">
        <v>2.0751300000000001</v>
      </c>
      <c r="K23">
        <v>1.3790900000000001</v>
      </c>
      <c r="L23">
        <v>1.9949699999999999</v>
      </c>
      <c r="M23">
        <v>1.2964599999999993</v>
      </c>
      <c r="N23">
        <v>1.9440599999999999</v>
      </c>
      <c r="O23">
        <v>1.4384100000000002</v>
      </c>
      <c r="P23">
        <v>2.0197099999999999</v>
      </c>
      <c r="Q23">
        <v>1.3505799999999997</v>
      </c>
      <c r="R23">
        <v>1.98003</v>
      </c>
      <c r="S23">
        <v>1.3077200000000002</v>
      </c>
      <c r="T23">
        <v>2.0328400000000002</v>
      </c>
      <c r="U23">
        <v>1.3643399999999997</v>
      </c>
      <c r="V23">
        <v>2.1075900000000001</v>
      </c>
      <c r="W23">
        <v>1.34693</v>
      </c>
      <c r="X23">
        <v>2.1651400000000001</v>
      </c>
      <c r="Y23">
        <v>1.3615699999999999</v>
      </c>
      <c r="Z23">
        <v>2.18554</v>
      </c>
      <c r="AA23">
        <v>1.3320900000000002</v>
      </c>
    </row>
    <row r="24" spans="1:27" x14ac:dyDescent="0.3">
      <c r="A24" t="s">
        <v>49</v>
      </c>
      <c r="B24">
        <v>2.0320400000000003</v>
      </c>
      <c r="C24">
        <v>1.4218</v>
      </c>
      <c r="D24">
        <v>1.91082</v>
      </c>
      <c r="E24">
        <v>1.4394200000000004</v>
      </c>
      <c r="F24">
        <v>1.92184</v>
      </c>
      <c r="G24">
        <v>1.3497000000000006</v>
      </c>
      <c r="H24">
        <v>1.9432100000000001</v>
      </c>
      <c r="I24">
        <v>1.3012600000000003</v>
      </c>
      <c r="J24">
        <v>2.01999</v>
      </c>
      <c r="K24">
        <v>1.3066100000000003</v>
      </c>
      <c r="L24">
        <v>1.94157</v>
      </c>
      <c r="M24">
        <v>1.33613</v>
      </c>
      <c r="N24">
        <v>1.96696</v>
      </c>
      <c r="O24">
        <v>1.4570800000000002</v>
      </c>
      <c r="P24">
        <v>1.95723</v>
      </c>
      <c r="Q24">
        <v>1.3599199999999996</v>
      </c>
      <c r="R24">
        <v>1.9228400000000001</v>
      </c>
      <c r="S24">
        <v>1.3740799999999995</v>
      </c>
      <c r="T24">
        <v>1.98871</v>
      </c>
      <c r="U24">
        <v>1.42265</v>
      </c>
      <c r="V24">
        <v>2.0427</v>
      </c>
      <c r="W24">
        <v>1.42733</v>
      </c>
      <c r="X24">
        <v>2.0775299999999999</v>
      </c>
      <c r="Y24">
        <v>1.4221299999999997</v>
      </c>
      <c r="Z24">
        <v>2.1355300000000002</v>
      </c>
      <c r="AA24">
        <v>1.3608200000000001</v>
      </c>
    </row>
    <row r="25" spans="1:27" x14ac:dyDescent="0.3">
      <c r="A25" t="s">
        <v>50</v>
      </c>
      <c r="B25">
        <v>2.2528599999999996</v>
      </c>
      <c r="C25">
        <v>1.2302799999999998</v>
      </c>
      <c r="D25">
        <v>2.0724399999999998</v>
      </c>
      <c r="E25">
        <v>1.3674600000000001</v>
      </c>
      <c r="F25">
        <v>2.09131</v>
      </c>
      <c r="G25">
        <v>1.27725</v>
      </c>
      <c r="H25">
        <v>2.0172099999999999</v>
      </c>
      <c r="I25">
        <v>1.2508799999999995</v>
      </c>
      <c r="J25">
        <v>2.18153</v>
      </c>
      <c r="K25">
        <v>1.2105700000000001</v>
      </c>
      <c r="L25">
        <v>2.0783900000000002</v>
      </c>
      <c r="M25">
        <v>1.2710900000000001</v>
      </c>
      <c r="N25">
        <v>2.10005</v>
      </c>
      <c r="O25">
        <v>1.8189700000000002</v>
      </c>
      <c r="P25">
        <v>2.2047500000000002</v>
      </c>
      <c r="Q25">
        <v>1.5333200000000005</v>
      </c>
      <c r="R25">
        <v>2.2580200000000001</v>
      </c>
      <c r="S25">
        <v>1.5409100000000004</v>
      </c>
      <c r="T25">
        <v>2.2404500000000001</v>
      </c>
      <c r="U25">
        <v>1.4825099999999998</v>
      </c>
      <c r="V25">
        <v>2.38158</v>
      </c>
      <c r="W25">
        <v>1.7388199999999996</v>
      </c>
      <c r="X25">
        <v>2.40279</v>
      </c>
      <c r="Y25">
        <v>1.80063</v>
      </c>
      <c r="Z25">
        <v>2.4226800000000002</v>
      </c>
      <c r="AA25">
        <v>1.7670699999999999</v>
      </c>
    </row>
    <row r="26" spans="1:27" x14ac:dyDescent="0.3">
      <c r="A26" t="s">
        <v>51</v>
      </c>
      <c r="B26">
        <v>1.4783200000000001</v>
      </c>
      <c r="C26">
        <v>1.0673500000000005</v>
      </c>
      <c r="D26">
        <v>1.49342</v>
      </c>
      <c r="E26">
        <v>1.02481</v>
      </c>
      <c r="F26">
        <v>1.7472099999999999</v>
      </c>
      <c r="G26">
        <v>1.0210400000000004</v>
      </c>
      <c r="H26">
        <v>1.5414000000000001</v>
      </c>
      <c r="I26">
        <v>1.0101399999999996</v>
      </c>
      <c r="J26">
        <v>1.37957</v>
      </c>
      <c r="K26">
        <v>1.0058500000000001</v>
      </c>
      <c r="L26">
        <v>1.2713300000000001</v>
      </c>
      <c r="M26">
        <v>1.0205999999999997</v>
      </c>
      <c r="N26">
        <v>1.45983</v>
      </c>
      <c r="O26">
        <v>1.0423299999999998</v>
      </c>
      <c r="P26">
        <v>2.11571</v>
      </c>
      <c r="Q26">
        <v>1.0025500000000005</v>
      </c>
      <c r="R26">
        <v>1.9966299999999999</v>
      </c>
      <c r="S26">
        <v>1.0056500000000006</v>
      </c>
      <c r="T26">
        <v>1.84406</v>
      </c>
      <c r="U26">
        <v>1.0026100000000002</v>
      </c>
      <c r="V26">
        <v>1.5004299999999999</v>
      </c>
      <c r="W26">
        <v>1.0237999999999998</v>
      </c>
      <c r="X26">
        <v>1.7072400000000001</v>
      </c>
      <c r="Y26">
        <v>1.0105000000000004</v>
      </c>
      <c r="Z26">
        <v>1.5388900000000001</v>
      </c>
      <c r="AA26">
        <v>1.0162200000000006</v>
      </c>
    </row>
    <row r="27" spans="1:27" x14ac:dyDescent="0.3">
      <c r="A27" t="s">
        <v>52</v>
      </c>
      <c r="B27">
        <v>2.1890000000000009</v>
      </c>
      <c r="C27">
        <v>1.1757000000000002</v>
      </c>
      <c r="D27">
        <v>1.9563999999999999</v>
      </c>
      <c r="E27">
        <v>1.0642199999999995</v>
      </c>
      <c r="F27">
        <v>2.0064299999999999</v>
      </c>
      <c r="G27">
        <v>1.07226</v>
      </c>
      <c r="H27">
        <v>1.88323</v>
      </c>
      <c r="I27">
        <v>1.0523</v>
      </c>
      <c r="J27">
        <v>2.00773</v>
      </c>
      <c r="K27">
        <v>1.0708299999999997</v>
      </c>
      <c r="L27">
        <v>1.93475</v>
      </c>
      <c r="M27">
        <v>1.1975399999999996</v>
      </c>
      <c r="N27">
        <v>1.7993300000000001</v>
      </c>
      <c r="O27">
        <v>1.1729200000000002</v>
      </c>
      <c r="P27">
        <v>2.0197099999999999</v>
      </c>
      <c r="Q27">
        <v>1.1652500000000001</v>
      </c>
      <c r="R27">
        <v>2.1778499999999998</v>
      </c>
      <c r="S27">
        <v>1.2413900000000002</v>
      </c>
      <c r="T27">
        <v>2.1374200000000001</v>
      </c>
      <c r="U27">
        <v>1.2556</v>
      </c>
      <c r="V27">
        <v>2.1981999999999999</v>
      </c>
      <c r="W27">
        <v>1.3677599999999999</v>
      </c>
      <c r="X27">
        <v>2.22641</v>
      </c>
      <c r="Y27">
        <v>1.2972999999999999</v>
      </c>
      <c r="Z27">
        <v>2.1957</v>
      </c>
      <c r="AA27">
        <v>1.288079999999999</v>
      </c>
    </row>
    <row r="28" spans="1:27" x14ac:dyDescent="0.3">
      <c r="A28" t="s">
        <v>53</v>
      </c>
      <c r="B28">
        <v>2.0566500000000003</v>
      </c>
      <c r="C28">
        <v>1.2167599999999996</v>
      </c>
      <c r="D28">
        <v>1.8883399999999999</v>
      </c>
      <c r="E28">
        <v>1.3887999999999996</v>
      </c>
      <c r="F28">
        <v>1.99705</v>
      </c>
      <c r="G28">
        <v>1.1502400000000002</v>
      </c>
      <c r="H28">
        <v>2.0091999999999999</v>
      </c>
      <c r="I28">
        <v>1.3322799999999999</v>
      </c>
      <c r="J28">
        <v>2.1132499999999999</v>
      </c>
      <c r="K28">
        <v>1.2241499999999998</v>
      </c>
      <c r="L28">
        <v>2.06514</v>
      </c>
      <c r="M28">
        <v>1.5772000000000002</v>
      </c>
      <c r="N28">
        <v>1.9657</v>
      </c>
      <c r="O28">
        <v>1.2336799999999997</v>
      </c>
      <c r="P28">
        <v>2.0383300000000002</v>
      </c>
      <c r="Q28">
        <v>1.15764</v>
      </c>
      <c r="R28">
        <v>1.92865</v>
      </c>
      <c r="S28">
        <v>1.2035399999999996</v>
      </c>
      <c r="T28">
        <v>1.9606600000000001</v>
      </c>
      <c r="U28">
        <v>1.3581899999999996</v>
      </c>
      <c r="V28">
        <v>2.0093999999999999</v>
      </c>
      <c r="W28">
        <v>1.3769799999999992</v>
      </c>
      <c r="X28">
        <v>2.04331</v>
      </c>
      <c r="Y28">
        <v>1.3652700000000002</v>
      </c>
      <c r="Z28">
        <v>2.0767600000000002</v>
      </c>
      <c r="AA28">
        <v>1.3328099999999996</v>
      </c>
    </row>
    <row r="29" spans="1:27" x14ac:dyDescent="0.3">
      <c r="A29" t="s">
        <v>54</v>
      </c>
      <c r="B29">
        <v>1.9615100000000001</v>
      </c>
      <c r="C29">
        <v>3.3327400000000003</v>
      </c>
      <c r="D29">
        <v>1.9316199999999999</v>
      </c>
      <c r="E29">
        <v>3.0296000000000003</v>
      </c>
      <c r="F29">
        <v>1.8414299999999999</v>
      </c>
      <c r="G29">
        <v>2.9575799999999988</v>
      </c>
      <c r="H29">
        <v>1.8284899999999999</v>
      </c>
      <c r="I29">
        <v>2.7448999999999999</v>
      </c>
      <c r="J29">
        <v>1.81236</v>
      </c>
      <c r="K29">
        <v>2.9064099999999988</v>
      </c>
      <c r="L29">
        <v>1.6533500000000001</v>
      </c>
      <c r="M29">
        <v>2.7876100000000004</v>
      </c>
      <c r="N29">
        <v>1.7305600000000001</v>
      </c>
      <c r="O29">
        <v>2.3287400000000003</v>
      </c>
      <c r="P29">
        <v>1.7396799999999999</v>
      </c>
      <c r="Q29">
        <v>2.2928000000000006</v>
      </c>
      <c r="R29">
        <v>1.74942</v>
      </c>
      <c r="S29">
        <v>2.4455700000000009</v>
      </c>
      <c r="T29">
        <v>1.6933499999999999</v>
      </c>
      <c r="U29">
        <v>2.4615699999999987</v>
      </c>
      <c r="V29">
        <v>1.6024</v>
      </c>
      <c r="W29">
        <v>2.6621199999999994</v>
      </c>
      <c r="X29">
        <v>1.5645500000000001</v>
      </c>
      <c r="Y29">
        <v>2.4530099999999999</v>
      </c>
      <c r="Z29">
        <v>1.4351799999999999</v>
      </c>
      <c r="AA29">
        <v>2.4813400000000003</v>
      </c>
    </row>
    <row r="30" spans="1:27" x14ac:dyDescent="0.3">
      <c r="A30" t="s">
        <v>55</v>
      </c>
      <c r="B30">
        <v>1.9841699999999995</v>
      </c>
      <c r="C30">
        <v>1.2304000000000004</v>
      </c>
      <c r="D30">
        <v>1.8252999999999999</v>
      </c>
      <c r="E30">
        <v>1.1777700000000002</v>
      </c>
      <c r="F30">
        <v>1.7381200000000001</v>
      </c>
      <c r="G30">
        <v>1.1485100000000006</v>
      </c>
      <c r="H30">
        <v>1.7279100000000001</v>
      </c>
      <c r="I30">
        <v>1.1808700000000001</v>
      </c>
      <c r="J30">
        <v>1.7271000000000001</v>
      </c>
      <c r="K30">
        <v>1.22119</v>
      </c>
      <c r="L30">
        <v>1.7411099999999999</v>
      </c>
      <c r="M30">
        <v>1.2256900000000002</v>
      </c>
      <c r="N30">
        <v>1.67822</v>
      </c>
      <c r="O30">
        <v>1.1799599999999999</v>
      </c>
      <c r="P30">
        <v>1.8484799999999999</v>
      </c>
      <c r="Q30">
        <v>1.2187900000000003</v>
      </c>
      <c r="R30">
        <v>1.8634599999999999</v>
      </c>
      <c r="S30">
        <v>1.2452699999999997</v>
      </c>
      <c r="T30">
        <v>1.8937200000000001</v>
      </c>
      <c r="U30">
        <v>1.2669700000000002</v>
      </c>
      <c r="V30">
        <v>1.8797900000000001</v>
      </c>
      <c r="W30">
        <v>1.3587700000000007</v>
      </c>
      <c r="X30">
        <v>1.88348</v>
      </c>
      <c r="Y30">
        <v>1.3714099999999998</v>
      </c>
      <c r="Z30">
        <v>1.9411499999999999</v>
      </c>
      <c r="AA30">
        <v>1.4138799999999998</v>
      </c>
    </row>
    <row r="31" spans="1:27" x14ac:dyDescent="0.3">
      <c r="A31" t="s">
        <v>56</v>
      </c>
      <c r="B31">
        <v>2.1073799999999996</v>
      </c>
      <c r="C31">
        <v>1.7604999999999997</v>
      </c>
      <c r="D31">
        <v>1.9324399999999999</v>
      </c>
      <c r="E31">
        <v>1.8745400000000005</v>
      </c>
      <c r="F31">
        <v>1.8929</v>
      </c>
      <c r="G31">
        <v>2.0392800000000002</v>
      </c>
      <c r="H31">
        <v>1.9021600000000001</v>
      </c>
      <c r="I31">
        <v>2.0537299999999998</v>
      </c>
      <c r="J31">
        <v>1.9029700000000001</v>
      </c>
      <c r="K31">
        <v>1.9517</v>
      </c>
      <c r="L31">
        <v>1.86581</v>
      </c>
      <c r="M31">
        <v>1.6419799999999998</v>
      </c>
      <c r="N31">
        <v>1.92438</v>
      </c>
      <c r="O31">
        <v>1.8213100000000002</v>
      </c>
      <c r="P31">
        <v>1.9229000000000001</v>
      </c>
      <c r="Q31">
        <v>3.5036099999999997</v>
      </c>
      <c r="R31">
        <v>1.9903299999999999</v>
      </c>
      <c r="S31">
        <v>3.0866699999999998</v>
      </c>
      <c r="T31">
        <v>2.0105300000000002</v>
      </c>
      <c r="U31">
        <v>2.93771</v>
      </c>
      <c r="V31">
        <v>2.0341800000000001</v>
      </c>
      <c r="W31">
        <v>1.9878200000000004</v>
      </c>
      <c r="X31">
        <v>2.0360200000000002</v>
      </c>
      <c r="Y31">
        <v>2.0792099999999998</v>
      </c>
      <c r="Z31">
        <v>1.97688</v>
      </c>
      <c r="AA31">
        <v>1.96793</v>
      </c>
    </row>
    <row r="32" spans="1:27" x14ac:dyDescent="0.3">
      <c r="A32" t="s">
        <v>57</v>
      </c>
      <c r="B32">
        <v>1.5172899999999998</v>
      </c>
      <c r="C32">
        <v>3.9549699999999994</v>
      </c>
      <c r="D32">
        <v>1.3849499999999999</v>
      </c>
      <c r="E32">
        <v>3.6412699999999996</v>
      </c>
      <c r="F32">
        <v>1.33074</v>
      </c>
      <c r="G32">
        <v>3.5154600000000005</v>
      </c>
      <c r="H32">
        <v>1.3181700000000001</v>
      </c>
      <c r="I32">
        <v>3.5849500000000005</v>
      </c>
      <c r="J32">
        <v>1.3427100000000001</v>
      </c>
      <c r="K32">
        <v>3.698430000000001</v>
      </c>
      <c r="L32">
        <v>1.3237699999999999</v>
      </c>
      <c r="M32">
        <v>3.6885499999999998</v>
      </c>
      <c r="N32">
        <v>1.2545999999999999</v>
      </c>
      <c r="O32">
        <v>3.506870000000001</v>
      </c>
      <c r="P32">
        <v>1.20885</v>
      </c>
      <c r="Q32">
        <v>3.5218000000000003</v>
      </c>
      <c r="R32">
        <v>1.20862</v>
      </c>
      <c r="S32">
        <v>3.5358000000000009</v>
      </c>
      <c r="T32">
        <v>1.22827</v>
      </c>
      <c r="U32">
        <v>3.6301100000000011</v>
      </c>
      <c r="V32">
        <v>1.2640899999999999</v>
      </c>
      <c r="W32">
        <v>3.7262699999999991</v>
      </c>
      <c r="X32">
        <v>1.24498</v>
      </c>
      <c r="Y32">
        <v>3.6445899999999996</v>
      </c>
      <c r="Z32">
        <v>1.26214</v>
      </c>
      <c r="AA32">
        <v>3.6288700000000005</v>
      </c>
    </row>
    <row r="33" spans="1:27" x14ac:dyDescent="0.3">
      <c r="A33" t="s">
        <v>58</v>
      </c>
      <c r="B33">
        <v>1.8587800000000005</v>
      </c>
      <c r="C33">
        <v>3.1646100000000001</v>
      </c>
      <c r="D33">
        <v>1.7660400000000001</v>
      </c>
      <c r="E33">
        <v>2.8707099999999999</v>
      </c>
      <c r="F33">
        <v>1.7280199999999999</v>
      </c>
      <c r="G33">
        <v>2.8604199999999995</v>
      </c>
      <c r="H33">
        <v>1.69797</v>
      </c>
      <c r="I33">
        <v>2.8661300000000005</v>
      </c>
      <c r="J33">
        <v>1.6795</v>
      </c>
      <c r="K33">
        <v>2.8717199999999998</v>
      </c>
      <c r="L33">
        <v>1.69008</v>
      </c>
      <c r="M33">
        <v>2.8894700000000002</v>
      </c>
      <c r="N33">
        <v>1.5948500000000001</v>
      </c>
      <c r="O33">
        <v>2.8979600000000003</v>
      </c>
      <c r="P33">
        <v>1.7124999999999999</v>
      </c>
      <c r="Q33">
        <v>3.2529000000000008</v>
      </c>
      <c r="R33">
        <v>1.6991499999999999</v>
      </c>
      <c r="S33">
        <v>3.1150300000000004</v>
      </c>
      <c r="T33">
        <v>1.7335</v>
      </c>
      <c r="U33">
        <v>3.2565199999999996</v>
      </c>
      <c r="V33">
        <v>1.6938200000000001</v>
      </c>
      <c r="W33">
        <v>2.5432700000000001</v>
      </c>
      <c r="X33">
        <v>1.6848000000000001</v>
      </c>
      <c r="Y33">
        <v>2.9215299999999993</v>
      </c>
      <c r="Z33">
        <v>1.5480100000000001</v>
      </c>
      <c r="AA33">
        <v>2.9727100000000006</v>
      </c>
    </row>
    <row r="34" spans="1:27" x14ac:dyDescent="0.3">
      <c r="A34" t="s">
        <v>59</v>
      </c>
      <c r="B34">
        <v>1.6365099999999999</v>
      </c>
      <c r="C34">
        <v>1.0579999999999994</v>
      </c>
      <c r="D34">
        <v>1.8722399999999999</v>
      </c>
      <c r="E34">
        <v>1.0608000000000002</v>
      </c>
      <c r="F34">
        <v>1.5568900000000001</v>
      </c>
      <c r="G34">
        <v>1.0579399999999999</v>
      </c>
      <c r="H34">
        <v>1.5688500000000001</v>
      </c>
      <c r="I34">
        <v>1.0474300000000001</v>
      </c>
      <c r="J34">
        <v>1.21621</v>
      </c>
      <c r="K34">
        <v>1.0452999999999997</v>
      </c>
      <c r="L34">
        <v>1.1007400000000001</v>
      </c>
      <c r="M34">
        <v>1.0494699999999995</v>
      </c>
      <c r="N34">
        <v>1.09772</v>
      </c>
      <c r="O34">
        <v>1.0431699999999995</v>
      </c>
      <c r="P34">
        <v>1.22898</v>
      </c>
      <c r="Q34">
        <v>1.0507700000000002</v>
      </c>
      <c r="R34">
        <v>1.2698</v>
      </c>
      <c r="S34">
        <v>1.0519099999999999</v>
      </c>
      <c r="T34">
        <v>1.31839</v>
      </c>
      <c r="U34">
        <v>1.04874</v>
      </c>
      <c r="V34">
        <v>1.32437</v>
      </c>
      <c r="W34">
        <v>1.0407199999999996</v>
      </c>
      <c r="X34">
        <v>1.3069</v>
      </c>
      <c r="Y34">
        <v>1.0481399999999992</v>
      </c>
      <c r="Z34">
        <v>1.2149700000000001</v>
      </c>
      <c r="AA34">
        <v>1.0492699999999999</v>
      </c>
    </row>
    <row r="35" spans="1:27" x14ac:dyDescent="0.3">
      <c r="A35" t="s">
        <v>60</v>
      </c>
      <c r="B35">
        <v>2.2874800000000008</v>
      </c>
      <c r="C35">
        <v>1.20668</v>
      </c>
      <c r="D35">
        <v>2.3717800000000002</v>
      </c>
      <c r="E35">
        <v>1.1556300000000002</v>
      </c>
      <c r="F35">
        <v>2.24857</v>
      </c>
      <c r="G35">
        <v>1.1463300000000001</v>
      </c>
      <c r="H35">
        <v>2.2993299999999999</v>
      </c>
      <c r="I35">
        <v>1.1546500000000002</v>
      </c>
      <c r="J35">
        <v>2.2636799999999999</v>
      </c>
      <c r="K35">
        <v>1.1553399999999998</v>
      </c>
      <c r="L35">
        <v>2.07796</v>
      </c>
      <c r="M35">
        <v>1.1549899999999995</v>
      </c>
      <c r="N35">
        <v>2.0065200000000001</v>
      </c>
      <c r="O35">
        <v>1.1882199999999998</v>
      </c>
      <c r="P35">
        <v>2.06724</v>
      </c>
      <c r="Q35">
        <v>1.2092100000000001</v>
      </c>
      <c r="R35">
        <v>2.0489299999999999</v>
      </c>
      <c r="S35">
        <v>1.1519400000000002</v>
      </c>
      <c r="T35">
        <v>1.9966999999999999</v>
      </c>
      <c r="U35">
        <v>1.1579600000000003</v>
      </c>
      <c r="V35">
        <v>1.8144899999999999</v>
      </c>
      <c r="W35">
        <v>1.0485500000000001</v>
      </c>
      <c r="X35">
        <v>1.93021</v>
      </c>
      <c r="Y35">
        <v>1.0526800000000001</v>
      </c>
      <c r="Z35">
        <v>1.7999700000000001</v>
      </c>
      <c r="AA35">
        <v>1.05576</v>
      </c>
    </row>
    <row r="36" spans="1:27" x14ac:dyDescent="0.3">
      <c r="A36" t="s">
        <v>61</v>
      </c>
      <c r="B36">
        <v>1.8484799999999999</v>
      </c>
      <c r="C36">
        <v>1.51691</v>
      </c>
      <c r="D36">
        <v>1.8061499999999999</v>
      </c>
      <c r="E36">
        <v>1.4549699999999999</v>
      </c>
      <c r="F36">
        <v>1.7296800000000001</v>
      </c>
      <c r="G36">
        <v>1.4336200000000001</v>
      </c>
      <c r="H36">
        <v>1.75858</v>
      </c>
      <c r="I36">
        <v>1.36938</v>
      </c>
      <c r="J36">
        <v>1.74549</v>
      </c>
      <c r="K36">
        <v>1.4291000000000003</v>
      </c>
      <c r="L36">
        <v>1.77084</v>
      </c>
      <c r="M36">
        <v>1.4476299999999995</v>
      </c>
      <c r="N36">
        <v>1.6062399999999999</v>
      </c>
      <c r="O36">
        <v>1.5186999999999995</v>
      </c>
      <c r="P36">
        <v>1.6884399999999999</v>
      </c>
      <c r="Q36">
        <v>1.4178199999999999</v>
      </c>
      <c r="R36">
        <v>1.7095400000000001</v>
      </c>
      <c r="S36">
        <v>1.3859900000000003</v>
      </c>
      <c r="T36">
        <v>1.7165600000000001</v>
      </c>
      <c r="U36">
        <v>1.3403200000000002</v>
      </c>
      <c r="V36">
        <v>1.65334</v>
      </c>
      <c r="W36">
        <v>1.3927200000000002</v>
      </c>
      <c r="X36">
        <v>1.6792800000000001</v>
      </c>
      <c r="Y36">
        <v>1.4264200000000002</v>
      </c>
      <c r="Z36">
        <v>1.5522199999999999</v>
      </c>
      <c r="AA36">
        <v>1.41306</v>
      </c>
    </row>
    <row r="37" spans="1:27" x14ac:dyDescent="0.3">
      <c r="A37" t="s">
        <v>62</v>
      </c>
      <c r="B37">
        <v>1.33843</v>
      </c>
      <c r="C37">
        <v>1.1299500000000002</v>
      </c>
      <c r="D37">
        <v>1.4711399999999999</v>
      </c>
      <c r="E37">
        <v>1.1369199999999997</v>
      </c>
      <c r="F37">
        <v>1.4493100000000001</v>
      </c>
      <c r="G37">
        <v>1.1274700000000002</v>
      </c>
      <c r="H37">
        <v>1.40036</v>
      </c>
      <c r="I37">
        <v>1.1081100000000002</v>
      </c>
      <c r="J37">
        <v>1.4255199999999999</v>
      </c>
      <c r="K37">
        <v>1.1188799999999999</v>
      </c>
      <c r="L37">
        <v>1.4481599999999999</v>
      </c>
      <c r="M37">
        <v>1.12957</v>
      </c>
      <c r="N37">
        <v>1.33796</v>
      </c>
      <c r="O37">
        <v>1.1367400000000001</v>
      </c>
      <c r="P37">
        <v>1.5405500000000001</v>
      </c>
      <c r="Q37">
        <v>1.2018499999999999</v>
      </c>
      <c r="R37">
        <v>1.5623499999999999</v>
      </c>
      <c r="S37">
        <v>1.1641599999999999</v>
      </c>
      <c r="T37">
        <v>1.63815</v>
      </c>
      <c r="U37">
        <v>1.1691499999999999</v>
      </c>
      <c r="V37">
        <v>1.6621600000000001</v>
      </c>
      <c r="W37">
        <v>1.2998299999999998</v>
      </c>
      <c r="X37">
        <v>1.7258599999999999</v>
      </c>
      <c r="Y37">
        <v>1.3450899999999997</v>
      </c>
      <c r="Z37">
        <v>1.7268300000000001</v>
      </c>
      <c r="AA37">
        <v>1.3613500000000001</v>
      </c>
    </row>
    <row r="38" spans="1:27" x14ac:dyDescent="0.3">
      <c r="A38" t="s">
        <v>63</v>
      </c>
      <c r="B38">
        <v>2.1445100000000004</v>
      </c>
      <c r="C38">
        <v>1.3350000000000002</v>
      </c>
      <c r="D38">
        <v>2.0604300000000002</v>
      </c>
      <c r="E38">
        <v>1.2251000000000003</v>
      </c>
      <c r="F38">
        <v>1.99512</v>
      </c>
      <c r="G38">
        <v>1.1816499999999999</v>
      </c>
      <c r="H38">
        <v>1.9845999999999999</v>
      </c>
      <c r="I38">
        <v>1.1494999999999997</v>
      </c>
      <c r="J38">
        <v>1.9282300000000001</v>
      </c>
      <c r="K38">
        <v>1.1551000000000002</v>
      </c>
      <c r="L38">
        <v>1.91212</v>
      </c>
      <c r="M38">
        <v>1.1645400000000004</v>
      </c>
      <c r="N38">
        <v>2.0467599999999999</v>
      </c>
      <c r="O38">
        <v>1.1731199999999999</v>
      </c>
      <c r="P38">
        <v>1.9034899999999999</v>
      </c>
      <c r="Q38">
        <v>1.2048100000000002</v>
      </c>
      <c r="R38">
        <v>1.8614900000000001</v>
      </c>
      <c r="S38">
        <v>1.1818299999999997</v>
      </c>
      <c r="T38">
        <v>1.86561</v>
      </c>
      <c r="U38">
        <v>1.2288799999999998</v>
      </c>
      <c r="V38">
        <v>2.01694</v>
      </c>
      <c r="W38">
        <v>1.2327199999999998</v>
      </c>
      <c r="X38">
        <v>2.0124</v>
      </c>
      <c r="Y38">
        <v>1.2414799999999999</v>
      </c>
      <c r="Z38">
        <v>2.0129899999999998</v>
      </c>
      <c r="AA38">
        <v>1.2520499999999997</v>
      </c>
    </row>
    <row r="39" spans="1:27" x14ac:dyDescent="0.3">
      <c r="A39" t="s">
        <v>64</v>
      </c>
      <c r="B39">
        <v>2.0115600000000002</v>
      </c>
      <c r="C39">
        <v>1.1336399999999998</v>
      </c>
      <c r="D39">
        <v>1.8809899999999999</v>
      </c>
      <c r="E39">
        <v>1.0985600000000004</v>
      </c>
      <c r="F39">
        <v>1.83094</v>
      </c>
      <c r="G39">
        <v>1.0584099999999999</v>
      </c>
      <c r="H39">
        <v>1.7573000000000001</v>
      </c>
      <c r="I39">
        <v>1.0535099999999999</v>
      </c>
      <c r="J39">
        <v>1.8731899999999999</v>
      </c>
      <c r="K39">
        <v>1.1004500000000004</v>
      </c>
      <c r="L39">
        <v>1.85097</v>
      </c>
      <c r="M39">
        <v>1.09598</v>
      </c>
      <c r="N39">
        <v>1.76833</v>
      </c>
      <c r="O39">
        <v>1.0447199999999999</v>
      </c>
      <c r="P39">
        <v>1.7985500000000001</v>
      </c>
      <c r="Q39">
        <v>1.1112699999999998</v>
      </c>
      <c r="R39">
        <v>1.77965</v>
      </c>
      <c r="S39">
        <v>1.12253</v>
      </c>
      <c r="T39">
        <v>1.79901</v>
      </c>
      <c r="U39">
        <v>1.1441299999999996</v>
      </c>
      <c r="V39">
        <v>1.78044</v>
      </c>
      <c r="W39">
        <v>1.2013900000000004</v>
      </c>
      <c r="X39">
        <v>1.7725599999999999</v>
      </c>
      <c r="Y39">
        <v>1.1950800000000001</v>
      </c>
      <c r="Z39">
        <v>1.78077</v>
      </c>
      <c r="AA39">
        <v>1.1971599999999998</v>
      </c>
    </row>
    <row r="40" spans="1:27" x14ac:dyDescent="0.3">
      <c r="A40" t="s">
        <v>65</v>
      </c>
      <c r="B40">
        <v>2.23699</v>
      </c>
      <c r="C40">
        <v>2.0162800000000001</v>
      </c>
      <c r="D40">
        <v>2.02793</v>
      </c>
      <c r="E40">
        <v>1.8646100000000001</v>
      </c>
      <c r="F40">
        <v>1.96428</v>
      </c>
      <c r="G40">
        <v>1.7320800000000003</v>
      </c>
      <c r="H40">
        <v>1.8941600000000001</v>
      </c>
      <c r="I40">
        <v>1.7079299999999999</v>
      </c>
      <c r="J40">
        <v>1.86856</v>
      </c>
      <c r="K40">
        <v>1.7917699999999999</v>
      </c>
      <c r="L40">
        <v>1.8164</v>
      </c>
      <c r="M40">
        <v>1.7436699999999998</v>
      </c>
      <c r="N40">
        <v>1.8056300000000001</v>
      </c>
      <c r="O40">
        <v>1.6192000000000006</v>
      </c>
      <c r="P40">
        <v>1.8354699999999999</v>
      </c>
      <c r="Q40">
        <v>1.5496299999999998</v>
      </c>
      <c r="R40">
        <v>1.85568</v>
      </c>
      <c r="S40">
        <v>1.4667500000000002</v>
      </c>
      <c r="T40">
        <v>1.8653500000000001</v>
      </c>
      <c r="U40">
        <v>1.4922000000000002</v>
      </c>
      <c r="V40">
        <v>1.81813</v>
      </c>
      <c r="W40">
        <v>1.5780500000000002</v>
      </c>
      <c r="X40">
        <v>1.78057</v>
      </c>
      <c r="Y40">
        <v>1.5319700000000005</v>
      </c>
      <c r="Z40">
        <v>1.79382</v>
      </c>
      <c r="AA40">
        <v>1.5353499999999998</v>
      </c>
    </row>
    <row r="41" spans="1:27" x14ac:dyDescent="0.3">
      <c r="A41" t="s">
        <v>66</v>
      </c>
      <c r="B41">
        <v>1.5551000000000001</v>
      </c>
      <c r="C41">
        <v>1.4057299999999999</v>
      </c>
      <c r="D41">
        <v>1.4430499999999999</v>
      </c>
      <c r="E41">
        <v>1.1853000000000005</v>
      </c>
      <c r="F41">
        <v>1.41513</v>
      </c>
      <c r="G41">
        <v>1.1090800000000001</v>
      </c>
      <c r="H41">
        <v>1.3946799999999999</v>
      </c>
      <c r="I41">
        <v>1.2649000000000001</v>
      </c>
      <c r="J41">
        <v>1.4238599999999999</v>
      </c>
      <c r="K41">
        <v>1.2606600000000001</v>
      </c>
      <c r="L41">
        <v>1.4508799999999999</v>
      </c>
      <c r="M41">
        <v>1.5302000000000002</v>
      </c>
      <c r="N41">
        <v>1.4254800000000001</v>
      </c>
      <c r="O41">
        <v>1.4040299999999999</v>
      </c>
      <c r="P41">
        <v>1.3711100000000001</v>
      </c>
      <c r="Q41">
        <v>1.4517199999999999</v>
      </c>
      <c r="R41">
        <v>1.42378</v>
      </c>
      <c r="S41">
        <v>1.3638400000000002</v>
      </c>
      <c r="T41">
        <v>1.43719</v>
      </c>
      <c r="U41">
        <v>1.7775699999999999</v>
      </c>
      <c r="V41">
        <v>1.3355999999999999</v>
      </c>
      <c r="W41">
        <v>1.7401800000000001</v>
      </c>
      <c r="X41">
        <v>1.3627</v>
      </c>
      <c r="Y41">
        <v>1.7101</v>
      </c>
      <c r="Z41">
        <v>1.3852500000000001</v>
      </c>
      <c r="AA41">
        <v>1.5778000000000001</v>
      </c>
    </row>
    <row r="42" spans="1:27" x14ac:dyDescent="0.3">
      <c r="A42" t="s">
        <v>67</v>
      </c>
      <c r="B42">
        <v>1.7332199999999998</v>
      </c>
      <c r="C42">
        <v>4.2237199999999993</v>
      </c>
      <c r="D42">
        <v>1.6296999999999999</v>
      </c>
      <c r="E42">
        <v>3.96726</v>
      </c>
      <c r="F42">
        <v>1.60206</v>
      </c>
      <c r="G42">
        <v>3.7436100000000003</v>
      </c>
      <c r="H42">
        <v>1.5632900000000001</v>
      </c>
      <c r="I42">
        <v>3.7527999999999997</v>
      </c>
      <c r="J42">
        <v>1.58178</v>
      </c>
      <c r="K42">
        <v>3.8419600000000003</v>
      </c>
      <c r="L42">
        <v>1.59866</v>
      </c>
      <c r="M42">
        <v>3.7657999999999996</v>
      </c>
      <c r="N42">
        <v>1.6098399999999999</v>
      </c>
      <c r="O42">
        <v>3.4992099999999993</v>
      </c>
      <c r="P42">
        <v>1.6275500000000001</v>
      </c>
      <c r="Q42">
        <v>4.0394100000000002</v>
      </c>
      <c r="R42">
        <v>1.62063</v>
      </c>
      <c r="S42">
        <v>3.8993599999999997</v>
      </c>
      <c r="T42">
        <v>1.6336900000000001</v>
      </c>
      <c r="U42">
        <v>4.3103500000000006</v>
      </c>
      <c r="V42">
        <v>1.6590499999999999</v>
      </c>
      <c r="W42">
        <v>4.1705699999999997</v>
      </c>
      <c r="X42">
        <v>1.66882</v>
      </c>
      <c r="Y42">
        <v>3.798929999999999</v>
      </c>
      <c r="Z42">
        <v>1.68059</v>
      </c>
      <c r="AA42">
        <v>3.82315</v>
      </c>
    </row>
    <row r="43" spans="1:27" x14ac:dyDescent="0.3">
      <c r="A43" t="s">
        <v>68</v>
      </c>
      <c r="B43">
        <v>1.3822100000000002</v>
      </c>
      <c r="C43">
        <v>1.4029800000000001</v>
      </c>
      <c r="D43">
        <v>1.3066899999999999</v>
      </c>
      <c r="E43">
        <v>1.1718299999999999</v>
      </c>
      <c r="F43">
        <v>1.2626299999999999</v>
      </c>
      <c r="G43">
        <v>1.1578299999999997</v>
      </c>
      <c r="H43">
        <v>1.27529</v>
      </c>
      <c r="I43">
        <v>1.2153499999999999</v>
      </c>
      <c r="J43">
        <v>1.26233</v>
      </c>
      <c r="K43">
        <v>1.1788000000000003</v>
      </c>
      <c r="L43">
        <v>1.2715399999999999</v>
      </c>
      <c r="M43">
        <v>1.2301900000000001</v>
      </c>
      <c r="N43">
        <v>1.26678</v>
      </c>
      <c r="O43">
        <v>1.2580300000000002</v>
      </c>
      <c r="P43">
        <v>1.24281</v>
      </c>
      <c r="Q43">
        <v>1.2048400000000001</v>
      </c>
      <c r="R43">
        <v>1.25102</v>
      </c>
      <c r="S43">
        <v>1.2525000000000002</v>
      </c>
      <c r="T43">
        <v>1.2396199999999999</v>
      </c>
      <c r="U43">
        <v>1.2405599999999999</v>
      </c>
      <c r="V43">
        <v>1.24756</v>
      </c>
      <c r="W43">
        <v>1.20492</v>
      </c>
      <c r="X43">
        <v>1.24698</v>
      </c>
      <c r="Y43">
        <v>1.19495</v>
      </c>
      <c r="Z43">
        <v>1.2486600000000001</v>
      </c>
      <c r="AA43">
        <v>1.19459</v>
      </c>
    </row>
    <row r="44" spans="1:27" x14ac:dyDescent="0.3">
      <c r="A44" t="s">
        <v>69</v>
      </c>
      <c r="B44">
        <v>1.6738099999999998</v>
      </c>
      <c r="C44">
        <v>1.0107500000000003</v>
      </c>
      <c r="D44">
        <v>1.5707199999999999</v>
      </c>
      <c r="E44">
        <v>1.0086599999999999</v>
      </c>
      <c r="F44">
        <v>1.5271300000000001</v>
      </c>
      <c r="G44">
        <v>1.0128600000000001</v>
      </c>
      <c r="H44">
        <v>1.51555</v>
      </c>
      <c r="I44">
        <v>1.02454</v>
      </c>
      <c r="J44">
        <v>1.5885800000000001</v>
      </c>
      <c r="K44">
        <v>1.0246</v>
      </c>
      <c r="L44">
        <v>1.5522199999999999</v>
      </c>
      <c r="M44">
        <v>1.02091</v>
      </c>
      <c r="N44">
        <v>1.4814000000000001</v>
      </c>
      <c r="O44">
        <v>1.0109599999999999</v>
      </c>
      <c r="P44">
        <v>1.4764299999999999</v>
      </c>
      <c r="Q44">
        <v>1.0120200000000001</v>
      </c>
      <c r="R44">
        <v>1.46105</v>
      </c>
      <c r="S44">
        <v>1.01223</v>
      </c>
      <c r="T44">
        <v>1.5023599999999999</v>
      </c>
      <c r="U44">
        <v>1.0206299999999997</v>
      </c>
      <c r="V44">
        <v>1.4730399999999999</v>
      </c>
      <c r="W44">
        <v>1.0196699999999999</v>
      </c>
      <c r="X44">
        <v>1.45939</v>
      </c>
      <c r="Y44">
        <v>1.0189699999999997</v>
      </c>
      <c r="Z44">
        <v>1.4777400000000001</v>
      </c>
      <c r="AA44">
        <v>1.0171499999999998</v>
      </c>
    </row>
    <row r="45" spans="1:27" x14ac:dyDescent="0.3">
      <c r="A45" t="s">
        <v>70</v>
      </c>
      <c r="B45">
        <v>1.67774</v>
      </c>
      <c r="C45">
        <v>1.99508</v>
      </c>
      <c r="D45">
        <v>1.5703100000000001</v>
      </c>
      <c r="E45">
        <v>2.0499199999999997</v>
      </c>
      <c r="F45">
        <v>1.46221</v>
      </c>
      <c r="G45">
        <v>2.0824099999999999</v>
      </c>
      <c r="H45">
        <v>1.5864</v>
      </c>
      <c r="I45">
        <v>2.8547500000000001</v>
      </c>
      <c r="J45">
        <v>1.5830900000000001</v>
      </c>
      <c r="K45">
        <v>2.9758299999999993</v>
      </c>
      <c r="L45">
        <v>1.5540099999999999</v>
      </c>
      <c r="M45">
        <v>2.9363999999999999</v>
      </c>
      <c r="N45">
        <v>1.49396</v>
      </c>
      <c r="O45">
        <v>2.3223199999999999</v>
      </c>
      <c r="P45">
        <v>1.51328</v>
      </c>
      <c r="Q45">
        <v>2.2015700000000002</v>
      </c>
      <c r="R45">
        <v>1.48645</v>
      </c>
      <c r="S45">
        <v>2.4988000000000001</v>
      </c>
      <c r="T45">
        <v>1.53027</v>
      </c>
      <c r="U45">
        <v>2.5355400000000001</v>
      </c>
      <c r="V45">
        <v>1.52024</v>
      </c>
      <c r="W45">
        <v>2.6349299999999998</v>
      </c>
      <c r="X45">
        <v>1.5032300000000001</v>
      </c>
      <c r="Y45">
        <v>2.4998099999999996</v>
      </c>
      <c r="Z45">
        <v>1.5173099999999999</v>
      </c>
      <c r="AA45">
        <v>2.4931399999999995</v>
      </c>
    </row>
    <row r="46" spans="1:27" x14ac:dyDescent="0.3">
      <c r="A46" t="s">
        <v>71</v>
      </c>
      <c r="B46">
        <v>1.4946700000000002</v>
      </c>
      <c r="C46">
        <v>1.2145000000000001</v>
      </c>
      <c r="D46">
        <v>1.37314</v>
      </c>
      <c r="E46">
        <v>1.1648200000000002</v>
      </c>
      <c r="F46">
        <v>1.3071600000000001</v>
      </c>
      <c r="G46">
        <v>1.0362399999999998</v>
      </c>
      <c r="H46">
        <v>1.3137300000000001</v>
      </c>
      <c r="I46">
        <v>1.0507399999999998</v>
      </c>
      <c r="J46">
        <v>1.3434699999999999</v>
      </c>
      <c r="K46">
        <v>1.0600399999999999</v>
      </c>
      <c r="L46">
        <v>1.36808</v>
      </c>
      <c r="M46">
        <v>1.0622099999999999</v>
      </c>
      <c r="N46">
        <v>1.3282099999999999</v>
      </c>
      <c r="O46">
        <v>1.0807500000000001</v>
      </c>
      <c r="P46">
        <v>1.31029</v>
      </c>
      <c r="Q46">
        <v>1.0584499999999999</v>
      </c>
      <c r="R46">
        <v>1.27691</v>
      </c>
      <c r="S46">
        <v>1.0567800000000001</v>
      </c>
      <c r="T46">
        <v>1.29931</v>
      </c>
      <c r="U46">
        <v>1.0623</v>
      </c>
      <c r="V46">
        <v>1.30837</v>
      </c>
      <c r="W46">
        <v>1.0635600000000001</v>
      </c>
      <c r="X46">
        <v>1.34965</v>
      </c>
      <c r="Y46">
        <v>1.0619700000000001</v>
      </c>
      <c r="Z46">
        <v>1.24854</v>
      </c>
      <c r="AA46">
        <v>1.0900700000000001</v>
      </c>
    </row>
    <row r="47" spans="1:27" x14ac:dyDescent="0.3">
      <c r="A47" t="s">
        <v>72</v>
      </c>
      <c r="B47">
        <v>1.4420000000000002</v>
      </c>
      <c r="C47">
        <v>1.0394699999999999</v>
      </c>
      <c r="D47">
        <v>1.2837400000000001</v>
      </c>
      <c r="E47">
        <v>1.0294000000000001</v>
      </c>
      <c r="F47">
        <v>1.2636799999999999</v>
      </c>
      <c r="G47">
        <v>1.0425</v>
      </c>
      <c r="H47">
        <v>1.2613300000000001</v>
      </c>
      <c r="I47">
        <v>1.0600400000000001</v>
      </c>
      <c r="J47">
        <v>1.26776</v>
      </c>
      <c r="K47">
        <v>1.15754</v>
      </c>
      <c r="L47">
        <v>1.29261</v>
      </c>
      <c r="M47">
        <v>1.1370900000000002</v>
      </c>
      <c r="N47">
        <v>1.30382</v>
      </c>
      <c r="O47">
        <v>1.1140699999999999</v>
      </c>
      <c r="P47">
        <v>1.3050900000000001</v>
      </c>
      <c r="Q47">
        <v>1.0982999999999998</v>
      </c>
      <c r="R47">
        <v>1.2843100000000001</v>
      </c>
      <c r="S47">
        <v>1.2078</v>
      </c>
      <c r="T47">
        <v>1.2634300000000001</v>
      </c>
      <c r="U47">
        <v>1.21349</v>
      </c>
      <c r="V47">
        <v>1.2508900000000001</v>
      </c>
      <c r="W47">
        <v>1.1476599999999999</v>
      </c>
      <c r="X47">
        <v>1.2398100000000001</v>
      </c>
      <c r="Y47">
        <v>1.1448100000000001</v>
      </c>
      <c r="Z47">
        <v>1.13907</v>
      </c>
      <c r="AA47">
        <v>1.1736599999999999</v>
      </c>
    </row>
    <row r="48" spans="1:27" x14ac:dyDescent="0.3">
      <c r="A48" t="s">
        <v>73</v>
      </c>
      <c r="B48">
        <v>1.6103599999999998</v>
      </c>
      <c r="C48">
        <v>1.0121600000000002</v>
      </c>
      <c r="D48">
        <v>1.58982</v>
      </c>
      <c r="E48">
        <v>1.0064599999999997</v>
      </c>
      <c r="F48">
        <v>1.5300499999999999</v>
      </c>
      <c r="G48">
        <v>1.0050999999999997</v>
      </c>
      <c r="H48">
        <v>1.55687</v>
      </c>
      <c r="I48">
        <v>1.0065999999999999</v>
      </c>
      <c r="J48">
        <v>1.5501400000000001</v>
      </c>
      <c r="K48">
        <v>1.0122300000000002</v>
      </c>
      <c r="L48">
        <v>1.4960899999999999</v>
      </c>
      <c r="M48">
        <v>1.0073099999999999</v>
      </c>
      <c r="N48">
        <v>1.4106099999999999</v>
      </c>
      <c r="O48">
        <v>1.0060899999999999</v>
      </c>
      <c r="P48">
        <v>1.4256500000000001</v>
      </c>
      <c r="Q48">
        <v>1.0414400000000001</v>
      </c>
      <c r="R48">
        <v>1.42746</v>
      </c>
      <c r="S48">
        <v>1.0426099999999998</v>
      </c>
      <c r="T48">
        <v>1.40082</v>
      </c>
      <c r="U48">
        <v>1.0397400000000001</v>
      </c>
      <c r="V48">
        <v>1.4472499999999999</v>
      </c>
      <c r="W48">
        <v>1.0261899999999999</v>
      </c>
      <c r="X48">
        <v>1.4270700000000001</v>
      </c>
      <c r="Y48">
        <v>1.0269200000000001</v>
      </c>
      <c r="Z48">
        <v>1.45706</v>
      </c>
      <c r="AA48">
        <v>1.0340499999999999</v>
      </c>
    </row>
    <row r="49" spans="1:27" x14ac:dyDescent="0.3">
      <c r="A49" t="s">
        <v>74</v>
      </c>
      <c r="B49">
        <v>1.8740399999999999</v>
      </c>
      <c r="C49">
        <v>1.0150299999999999</v>
      </c>
      <c r="D49">
        <v>1.73766</v>
      </c>
      <c r="E49">
        <v>1.00902</v>
      </c>
      <c r="F49">
        <v>1.64133</v>
      </c>
      <c r="G49">
        <v>1.00837</v>
      </c>
      <c r="H49">
        <v>1.6376299999999999</v>
      </c>
      <c r="I49">
        <v>1.0047899999999998</v>
      </c>
      <c r="J49">
        <v>1.66455</v>
      </c>
      <c r="K49">
        <v>1.00925</v>
      </c>
      <c r="L49">
        <v>1.6393500000000001</v>
      </c>
      <c r="M49">
        <v>1.0079099999999999</v>
      </c>
      <c r="N49">
        <v>1.5617700000000001</v>
      </c>
      <c r="O49">
        <v>1.0042599999999999</v>
      </c>
      <c r="P49">
        <v>1.5960000000000001</v>
      </c>
      <c r="Q49">
        <v>1.0153100000000002</v>
      </c>
      <c r="R49">
        <v>1.6112899999999999</v>
      </c>
      <c r="S49">
        <v>1.01762</v>
      </c>
      <c r="T49">
        <v>1.6261699999999999</v>
      </c>
      <c r="U49">
        <v>1.0196099999999999</v>
      </c>
      <c r="V49">
        <v>1.6059399999999999</v>
      </c>
      <c r="W49">
        <v>1.0381699999999998</v>
      </c>
      <c r="X49">
        <v>1.5888100000000001</v>
      </c>
      <c r="Y49">
        <v>1.0379700000000001</v>
      </c>
      <c r="Z49">
        <v>1.6010800000000001</v>
      </c>
      <c r="AA49">
        <v>1.0401199999999999</v>
      </c>
    </row>
    <row r="50" spans="1:27" x14ac:dyDescent="0.3">
      <c r="A50" t="s">
        <v>75</v>
      </c>
      <c r="B50">
        <v>1.7475499999999999</v>
      </c>
      <c r="C50">
        <v>1.0967899999999999</v>
      </c>
      <c r="D50">
        <v>1.63917</v>
      </c>
      <c r="E50">
        <v>1.1212800000000001</v>
      </c>
      <c r="F50">
        <v>1.55867</v>
      </c>
      <c r="G50">
        <v>1.1281899999999998</v>
      </c>
      <c r="H50">
        <v>1.52711</v>
      </c>
      <c r="I50">
        <v>1.1575500000000001</v>
      </c>
      <c r="J50">
        <v>1.5424199999999999</v>
      </c>
      <c r="K50">
        <v>1.19695</v>
      </c>
      <c r="L50">
        <v>1.5191399999999999</v>
      </c>
      <c r="M50">
        <v>1.1796199999999999</v>
      </c>
      <c r="N50">
        <v>1.4541500000000001</v>
      </c>
      <c r="O50">
        <v>1.12039</v>
      </c>
      <c r="P50">
        <v>1.4950300000000001</v>
      </c>
      <c r="Q50">
        <v>1.1389499999999999</v>
      </c>
      <c r="R50">
        <v>1.4803599999999999</v>
      </c>
      <c r="S50">
        <v>1.18049</v>
      </c>
      <c r="T50">
        <v>1.4911399999999999</v>
      </c>
      <c r="U50">
        <v>1.13941</v>
      </c>
      <c r="V50">
        <v>1.4825600000000001</v>
      </c>
      <c r="W50">
        <v>1.11748</v>
      </c>
      <c r="X50">
        <v>1.4659</v>
      </c>
      <c r="Y50">
        <v>1.11347</v>
      </c>
      <c r="Z50">
        <v>1.4846200000000001</v>
      </c>
      <c r="AA50">
        <v>1.1173</v>
      </c>
    </row>
    <row r="51" spans="1:27" x14ac:dyDescent="0.3">
      <c r="A51" t="s">
        <v>76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 x14ac:dyDescent="0.3">
      <c r="A52" t="s">
        <v>77</v>
      </c>
      <c r="B52">
        <v>1.7857326000000002</v>
      </c>
      <c r="C52">
        <v>1.7857325999999998</v>
      </c>
      <c r="D52">
        <v>1.718736</v>
      </c>
      <c r="E52">
        <v>1.7187352000000007</v>
      </c>
      <c r="F52">
        <v>1.6930512000000002</v>
      </c>
      <c r="G52">
        <v>1.6930536000000003</v>
      </c>
      <c r="H52">
        <v>1.6975690000000001</v>
      </c>
      <c r="I52">
        <v>1.6975676000000002</v>
      </c>
      <c r="J52">
        <v>1.7049313999999998</v>
      </c>
      <c r="K52">
        <v>1.7049266000000003</v>
      </c>
      <c r="L52">
        <v>1.6645251999999999</v>
      </c>
      <c r="M52">
        <v>1.6645247999999992</v>
      </c>
      <c r="N52">
        <v>1.6298069999999998</v>
      </c>
      <c r="O52">
        <v>1.6298080000000001</v>
      </c>
      <c r="P52">
        <v>1.6790776000000003</v>
      </c>
      <c r="Q52">
        <v>1.6790772</v>
      </c>
      <c r="R52">
        <v>1.6857830000000005</v>
      </c>
      <c r="S52">
        <v>1.6857824000000001</v>
      </c>
      <c r="T52">
        <v>1.7043828000000003</v>
      </c>
      <c r="U52">
        <v>1.7043845999999996</v>
      </c>
      <c r="V52">
        <v>1.6958772000000004</v>
      </c>
      <c r="W52">
        <v>1.6958763999999997</v>
      </c>
      <c r="X52">
        <v>1.7033177999999998</v>
      </c>
      <c r="Y52">
        <v>1.7033132000000006</v>
      </c>
      <c r="Z52">
        <v>1.6956262000000002</v>
      </c>
      <c r="AA52">
        <v>1.6956255999999996</v>
      </c>
    </row>
    <row r="53" spans="1:27" x14ac:dyDescent="0.3">
      <c r="A53" t="s">
        <v>90</v>
      </c>
      <c r="B53">
        <f>_xlfn.STDEV.P(B2:B51)</f>
        <v>0.31093970941524679</v>
      </c>
      <c r="C53">
        <f t="shared" ref="C53:AA53" si="0">_xlfn.STDEV.P(C2:C51)</f>
        <v>0.98086244580942117</v>
      </c>
      <c r="D53">
        <f t="shared" si="0"/>
        <v>0.29631499278301782</v>
      </c>
      <c r="E53">
        <f t="shared" si="0"/>
        <v>0.96966897285875731</v>
      </c>
      <c r="F53">
        <f t="shared" si="0"/>
        <v>0.30447121237082597</v>
      </c>
      <c r="G53">
        <f t="shared" si="0"/>
        <v>0.89129222923294837</v>
      </c>
      <c r="H53">
        <f t="shared" si="0"/>
        <v>0.30467454696610285</v>
      </c>
      <c r="I53">
        <f t="shared" si="0"/>
        <v>0.90130913609828611</v>
      </c>
      <c r="J53">
        <f t="shared" si="0"/>
        <v>0.3279040264346274</v>
      </c>
      <c r="K53">
        <f t="shared" si="0"/>
        <v>0.8595155455292468</v>
      </c>
      <c r="L53">
        <f t="shared" si="0"/>
        <v>0.29524269108812812</v>
      </c>
      <c r="M53">
        <f t="shared" si="0"/>
        <v>0.73624899438774283</v>
      </c>
      <c r="N53">
        <f t="shared" si="0"/>
        <v>0.2908049997180252</v>
      </c>
      <c r="O53">
        <f t="shared" si="0"/>
        <v>0.64018116324053176</v>
      </c>
      <c r="P53">
        <f t="shared" si="0"/>
        <v>0.31353926676293348</v>
      </c>
      <c r="Q53">
        <f t="shared" si="0"/>
        <v>0.776371902008413</v>
      </c>
      <c r="R53">
        <f t="shared" si="0"/>
        <v>0.32593896230582564</v>
      </c>
      <c r="S53">
        <f t="shared" si="0"/>
        <v>0.7727951886329516</v>
      </c>
      <c r="T53">
        <f t="shared" si="0"/>
        <v>0.33683264047915368</v>
      </c>
      <c r="U53">
        <f t="shared" si="0"/>
        <v>0.80084744634221194</v>
      </c>
      <c r="V53">
        <f t="shared" si="0"/>
        <v>0.33593350735548511</v>
      </c>
      <c r="W53">
        <f t="shared" si="0"/>
        <v>0.76054961978495583</v>
      </c>
      <c r="X53">
        <f t="shared" si="0"/>
        <v>0.35074321806296116</v>
      </c>
      <c r="Y53">
        <f t="shared" si="0"/>
        <v>0.77887284223919306</v>
      </c>
      <c r="Z53">
        <f t="shared" si="0"/>
        <v>0.36526985279866703</v>
      </c>
      <c r="AA53">
        <f t="shared" si="0"/>
        <v>0.77604686989423521</v>
      </c>
    </row>
  </sheetData>
  <autoFilter ref="A1:AA53" xr:uid="{208122DD-08E3-4B61-AF73-83ECE9525E3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4EF8-6A69-4EC0-99F1-A6F68DEBED5E}">
  <dimension ref="A1:D51"/>
  <sheetViews>
    <sheetView workbookViewId="0">
      <selection sqref="A1:D11"/>
    </sheetView>
  </sheetViews>
  <sheetFormatPr defaultRowHeight="14.4" x14ac:dyDescent="0.3"/>
  <cols>
    <col min="1" max="1" width="38.88671875" customWidth="1"/>
    <col min="2" max="2" width="10.88671875" bestFit="1" customWidth="1"/>
    <col min="3" max="3" width="10.44140625" bestFit="1" customWidth="1"/>
    <col min="4" max="4" width="10.88671875" bestFit="1" customWidth="1"/>
  </cols>
  <sheetData>
    <row r="1" spans="1:4" x14ac:dyDescent="0.3">
      <c r="A1" s="1" t="s">
        <v>0</v>
      </c>
      <c r="B1" t="s">
        <v>2</v>
      </c>
      <c r="C1" t="s">
        <v>20</v>
      </c>
      <c r="D1" t="s">
        <v>26</v>
      </c>
    </row>
    <row r="2" spans="1:4" x14ac:dyDescent="0.3">
      <c r="A2" s="1" t="s">
        <v>44</v>
      </c>
      <c r="B2">
        <v>3.2862700000000005</v>
      </c>
      <c r="C2">
        <v>3.9828399999999995</v>
      </c>
      <c r="D2">
        <v>4.6667599999999991</v>
      </c>
    </row>
    <row r="3" spans="1:4" x14ac:dyDescent="0.3">
      <c r="A3" s="1" t="s">
        <v>67</v>
      </c>
      <c r="B3">
        <v>4.2237199999999993</v>
      </c>
      <c r="C3">
        <v>4.3103500000000006</v>
      </c>
      <c r="D3">
        <v>3.82315</v>
      </c>
    </row>
    <row r="4" spans="1:4" ht="28.8" x14ac:dyDescent="0.3">
      <c r="A4" s="1" t="s">
        <v>57</v>
      </c>
      <c r="B4">
        <v>3.9549699999999994</v>
      </c>
      <c r="C4">
        <v>3.6301100000000011</v>
      </c>
      <c r="D4">
        <v>3.6288700000000005</v>
      </c>
    </row>
    <row r="5" spans="1:4" x14ac:dyDescent="0.3">
      <c r="A5" s="1" t="s">
        <v>58</v>
      </c>
      <c r="B5">
        <v>3.1646100000000001</v>
      </c>
      <c r="C5">
        <v>3.2565199999999996</v>
      </c>
      <c r="D5">
        <v>2.9727100000000006</v>
      </c>
    </row>
    <row r="6" spans="1:4" x14ac:dyDescent="0.3">
      <c r="A6" s="1" t="s">
        <v>39</v>
      </c>
      <c r="B6">
        <v>5.3925599999999996</v>
      </c>
      <c r="C6">
        <v>3.0118600000000009</v>
      </c>
      <c r="D6">
        <v>2.8101600000000002</v>
      </c>
    </row>
    <row r="7" spans="1:4" x14ac:dyDescent="0.3">
      <c r="A7" s="1" t="s">
        <v>40</v>
      </c>
      <c r="B7">
        <v>2.4739899999999997</v>
      </c>
      <c r="C7">
        <v>2.66161</v>
      </c>
      <c r="D7">
        <v>2.5812000000000008</v>
      </c>
    </row>
    <row r="8" spans="1:4" x14ac:dyDescent="0.3">
      <c r="A8" s="1" t="s">
        <v>70</v>
      </c>
      <c r="B8">
        <v>1.99508</v>
      </c>
      <c r="C8">
        <v>2.5355400000000001</v>
      </c>
      <c r="D8">
        <v>2.4931399999999995</v>
      </c>
    </row>
    <row r="9" spans="1:4" ht="28.8" x14ac:dyDescent="0.3">
      <c r="A9" s="1" t="s">
        <v>54</v>
      </c>
      <c r="B9">
        <v>3.3327400000000003</v>
      </c>
      <c r="C9">
        <v>2.4615699999999987</v>
      </c>
      <c r="D9">
        <v>2.4813400000000003</v>
      </c>
    </row>
    <row r="10" spans="1:4" x14ac:dyDescent="0.3">
      <c r="A10" s="1" t="s">
        <v>27</v>
      </c>
      <c r="B10">
        <v>4.3651100000000005</v>
      </c>
      <c r="C10">
        <v>2.6215799999999994</v>
      </c>
      <c r="D10">
        <v>2.4005000000000014</v>
      </c>
    </row>
    <row r="11" spans="1:4" ht="28.8" x14ac:dyDescent="0.3">
      <c r="A11" s="1" t="s">
        <v>45</v>
      </c>
      <c r="B11">
        <v>2.0396200000000007</v>
      </c>
      <c r="C11">
        <v>1.7352799999999999</v>
      </c>
      <c r="D11">
        <v>2.0452799999999995</v>
      </c>
    </row>
    <row r="12" spans="1:4" x14ac:dyDescent="0.3">
      <c r="A12" t="s">
        <v>28</v>
      </c>
      <c r="B12">
        <v>2.0109400000000002</v>
      </c>
      <c r="C12">
        <v>1.72088</v>
      </c>
      <c r="D12">
        <v>1.9837699999999994</v>
      </c>
    </row>
    <row r="13" spans="1:4" x14ac:dyDescent="0.3">
      <c r="A13" t="s">
        <v>56</v>
      </c>
      <c r="B13">
        <v>1.7604999999999997</v>
      </c>
      <c r="C13">
        <v>2.93771</v>
      </c>
      <c r="D13">
        <v>1.96793</v>
      </c>
    </row>
    <row r="14" spans="1:4" x14ac:dyDescent="0.3">
      <c r="A14" t="s">
        <v>38</v>
      </c>
      <c r="B14">
        <v>2.0407299999999995</v>
      </c>
      <c r="C14">
        <v>1.7290299999999998</v>
      </c>
      <c r="D14">
        <v>1.8449500000000001</v>
      </c>
    </row>
    <row r="15" spans="1:4" x14ac:dyDescent="0.3">
      <c r="A15" t="s">
        <v>35</v>
      </c>
      <c r="B15">
        <v>1.7926000000000011</v>
      </c>
      <c r="C15">
        <v>1.5827499999999997</v>
      </c>
      <c r="D15">
        <v>1.79616</v>
      </c>
    </row>
    <row r="16" spans="1:4" x14ac:dyDescent="0.3">
      <c r="A16" t="s">
        <v>50</v>
      </c>
      <c r="B16">
        <v>1.2302799999999998</v>
      </c>
      <c r="C16">
        <v>1.4825099999999998</v>
      </c>
      <c r="D16">
        <v>1.7670699999999999</v>
      </c>
    </row>
    <row r="17" spans="1:4" x14ac:dyDescent="0.3">
      <c r="A17" t="s">
        <v>42</v>
      </c>
      <c r="B17">
        <v>1.5829900000000006</v>
      </c>
      <c r="C17">
        <v>1.5832399999999998</v>
      </c>
      <c r="D17">
        <v>1.7440300000000006</v>
      </c>
    </row>
    <row r="18" spans="1:4" x14ac:dyDescent="0.3">
      <c r="A18" t="s">
        <v>32</v>
      </c>
      <c r="B18">
        <v>1.38504</v>
      </c>
      <c r="C18">
        <v>1.5361</v>
      </c>
      <c r="D18">
        <v>1.7281099999999998</v>
      </c>
    </row>
    <row r="19" spans="1:4" x14ac:dyDescent="0.3">
      <c r="A19" t="s">
        <v>34</v>
      </c>
      <c r="B19">
        <v>1.4350100000000001</v>
      </c>
      <c r="C19">
        <v>1.6525099999999999</v>
      </c>
      <c r="D19">
        <v>1.6877000000000004</v>
      </c>
    </row>
    <row r="20" spans="1:4" x14ac:dyDescent="0.3">
      <c r="A20" t="s">
        <v>43</v>
      </c>
      <c r="B20">
        <v>1.4045499999999997</v>
      </c>
      <c r="C20">
        <v>1.6967800000000004</v>
      </c>
      <c r="D20">
        <v>1.6572299999999998</v>
      </c>
    </row>
    <row r="21" spans="1:4" x14ac:dyDescent="0.3">
      <c r="A21" t="s">
        <v>36</v>
      </c>
      <c r="B21">
        <v>1.7814900000000007</v>
      </c>
      <c r="C21">
        <v>1.6240299999999996</v>
      </c>
      <c r="D21">
        <v>1.6552900000000002</v>
      </c>
    </row>
    <row r="22" spans="1:4" x14ac:dyDescent="0.3">
      <c r="A22" t="s">
        <v>46</v>
      </c>
      <c r="B22">
        <v>1.5833200000000001</v>
      </c>
      <c r="C22">
        <v>1.9247999999999998</v>
      </c>
      <c r="D22">
        <v>1.6177500000000005</v>
      </c>
    </row>
    <row r="23" spans="1:4" x14ac:dyDescent="0.3">
      <c r="A23" t="s">
        <v>66</v>
      </c>
      <c r="B23">
        <v>1.4057299999999999</v>
      </c>
      <c r="C23">
        <v>1.7775699999999999</v>
      </c>
      <c r="D23">
        <v>1.5778000000000001</v>
      </c>
    </row>
    <row r="24" spans="1:4" x14ac:dyDescent="0.3">
      <c r="A24" t="s">
        <v>65</v>
      </c>
      <c r="B24">
        <v>2.0162800000000001</v>
      </c>
      <c r="C24">
        <v>1.4922000000000002</v>
      </c>
      <c r="D24">
        <v>1.5353499999999998</v>
      </c>
    </row>
    <row r="25" spans="1:4" x14ac:dyDescent="0.3">
      <c r="A25" t="s">
        <v>55</v>
      </c>
      <c r="B25">
        <v>1.2304000000000004</v>
      </c>
      <c r="C25">
        <v>1.2669700000000002</v>
      </c>
      <c r="D25">
        <v>1.4138799999999998</v>
      </c>
    </row>
    <row r="26" spans="1:4" x14ac:dyDescent="0.3">
      <c r="A26" t="s">
        <v>61</v>
      </c>
      <c r="B26">
        <v>1.51691</v>
      </c>
      <c r="C26">
        <v>1.3403200000000002</v>
      </c>
      <c r="D26">
        <v>1.41306</v>
      </c>
    </row>
    <row r="27" spans="1:4" x14ac:dyDescent="0.3">
      <c r="A27" t="s">
        <v>30</v>
      </c>
      <c r="B27">
        <v>1.5292000000000001</v>
      </c>
      <c r="C27">
        <v>1.4085900000000013</v>
      </c>
      <c r="D27">
        <v>1.3908999999999994</v>
      </c>
    </row>
    <row r="28" spans="1:4" x14ac:dyDescent="0.3">
      <c r="A28" t="s">
        <v>41</v>
      </c>
      <c r="B28">
        <v>1.6103699999999999</v>
      </c>
      <c r="C28">
        <v>1.3167499999999994</v>
      </c>
      <c r="D28">
        <v>1.3714600000000006</v>
      </c>
    </row>
    <row r="29" spans="1:4" x14ac:dyDescent="0.3">
      <c r="A29" t="s">
        <v>62</v>
      </c>
      <c r="B29">
        <v>1.1299500000000002</v>
      </c>
      <c r="C29">
        <v>1.1691499999999999</v>
      </c>
      <c r="D29">
        <v>1.3613500000000001</v>
      </c>
    </row>
    <row r="30" spans="1:4" x14ac:dyDescent="0.3">
      <c r="A30" t="s">
        <v>49</v>
      </c>
      <c r="B30">
        <v>1.4218</v>
      </c>
      <c r="C30">
        <v>1.42265</v>
      </c>
      <c r="D30">
        <v>1.3608200000000001</v>
      </c>
    </row>
    <row r="31" spans="1:4" x14ac:dyDescent="0.3">
      <c r="A31" t="s">
        <v>53</v>
      </c>
      <c r="B31">
        <v>1.2167599999999996</v>
      </c>
      <c r="C31">
        <v>1.3581899999999996</v>
      </c>
      <c r="D31">
        <v>1.3328099999999996</v>
      </c>
    </row>
    <row r="32" spans="1:4" x14ac:dyDescent="0.3">
      <c r="A32" t="s">
        <v>48</v>
      </c>
      <c r="B32">
        <v>1.3706699999999996</v>
      </c>
      <c r="C32">
        <v>1.3643399999999997</v>
      </c>
      <c r="D32">
        <v>1.3320900000000002</v>
      </c>
    </row>
    <row r="33" spans="1:4" x14ac:dyDescent="0.3">
      <c r="A33" t="s">
        <v>31</v>
      </c>
      <c r="B33">
        <v>2.15036</v>
      </c>
      <c r="C33">
        <v>1.3447300000000004</v>
      </c>
      <c r="D33">
        <v>1.3254800000000004</v>
      </c>
    </row>
    <row r="34" spans="1:4" x14ac:dyDescent="0.3">
      <c r="A34" t="s">
        <v>52</v>
      </c>
      <c r="B34">
        <v>1.1757000000000002</v>
      </c>
      <c r="C34">
        <v>1.2556</v>
      </c>
      <c r="D34">
        <v>1.288079999999999</v>
      </c>
    </row>
    <row r="35" spans="1:4" x14ac:dyDescent="0.3">
      <c r="A35" t="s">
        <v>63</v>
      </c>
      <c r="B35">
        <v>1.3350000000000002</v>
      </c>
      <c r="C35">
        <v>1.2288799999999998</v>
      </c>
      <c r="D35">
        <v>1.2520499999999997</v>
      </c>
    </row>
    <row r="36" spans="1:4" x14ac:dyDescent="0.3">
      <c r="A36" t="s">
        <v>37</v>
      </c>
      <c r="B36">
        <v>1.1451900000000008</v>
      </c>
      <c r="C36">
        <v>1.38717</v>
      </c>
      <c r="D36">
        <v>1.2002700000000002</v>
      </c>
    </row>
    <row r="37" spans="1:4" x14ac:dyDescent="0.3">
      <c r="A37" t="s">
        <v>64</v>
      </c>
      <c r="B37">
        <v>1.1336399999999998</v>
      </c>
      <c r="C37">
        <v>1.1441299999999996</v>
      </c>
      <c r="D37">
        <v>1.1971599999999998</v>
      </c>
    </row>
    <row r="38" spans="1:4" x14ac:dyDescent="0.3">
      <c r="A38" t="s">
        <v>68</v>
      </c>
      <c r="B38">
        <v>1.4029800000000001</v>
      </c>
      <c r="C38">
        <v>1.2405599999999999</v>
      </c>
      <c r="D38">
        <v>1.19459</v>
      </c>
    </row>
    <row r="39" spans="1:4" x14ac:dyDescent="0.3">
      <c r="A39" t="s">
        <v>72</v>
      </c>
      <c r="B39">
        <v>1.0394699999999999</v>
      </c>
      <c r="C39">
        <v>1.21349</v>
      </c>
      <c r="D39">
        <v>1.1736599999999999</v>
      </c>
    </row>
    <row r="40" spans="1:4" x14ac:dyDescent="0.3">
      <c r="A40" t="s">
        <v>47</v>
      </c>
      <c r="B40">
        <v>1.356580000000001</v>
      </c>
      <c r="C40">
        <v>1.1815100000000007</v>
      </c>
      <c r="D40">
        <v>1.1245000000000005</v>
      </c>
    </row>
    <row r="41" spans="1:4" x14ac:dyDescent="0.3">
      <c r="A41" t="s">
        <v>75</v>
      </c>
      <c r="B41">
        <v>1.0967899999999999</v>
      </c>
      <c r="C41">
        <v>1.13941</v>
      </c>
      <c r="D41">
        <v>1.1173</v>
      </c>
    </row>
    <row r="42" spans="1:4" x14ac:dyDescent="0.3">
      <c r="A42" t="s">
        <v>33</v>
      </c>
      <c r="B42">
        <v>1.0324500000000001</v>
      </c>
      <c r="C42">
        <v>1.0822199999999993</v>
      </c>
      <c r="D42">
        <v>1.0904500000000006</v>
      </c>
    </row>
    <row r="43" spans="1:4" x14ac:dyDescent="0.3">
      <c r="A43" t="s">
        <v>71</v>
      </c>
      <c r="B43">
        <v>1.2145000000000001</v>
      </c>
      <c r="C43">
        <v>1.0623</v>
      </c>
      <c r="D43">
        <v>1.0900700000000001</v>
      </c>
    </row>
    <row r="44" spans="1:4" x14ac:dyDescent="0.3">
      <c r="A44" t="s">
        <v>29</v>
      </c>
      <c r="B44">
        <v>1.1498099999999989</v>
      </c>
      <c r="C44">
        <v>1.0556099999999997</v>
      </c>
      <c r="D44">
        <v>1.0724800000000003</v>
      </c>
    </row>
    <row r="45" spans="1:4" x14ac:dyDescent="0.3">
      <c r="A45" t="s">
        <v>60</v>
      </c>
      <c r="B45">
        <v>1.20668</v>
      </c>
      <c r="C45">
        <v>1.1579600000000003</v>
      </c>
      <c r="D45">
        <v>1.05576</v>
      </c>
    </row>
    <row r="46" spans="1:4" x14ac:dyDescent="0.3">
      <c r="A46" t="s">
        <v>59</v>
      </c>
      <c r="B46">
        <v>1.0579999999999994</v>
      </c>
      <c r="C46">
        <v>1.04874</v>
      </c>
      <c r="D46">
        <v>1.0492699999999999</v>
      </c>
    </row>
    <row r="47" spans="1:4" x14ac:dyDescent="0.3">
      <c r="A47" t="s">
        <v>74</v>
      </c>
      <c r="B47">
        <v>1.0150299999999999</v>
      </c>
      <c r="C47">
        <v>1.0196099999999999</v>
      </c>
      <c r="D47">
        <v>1.0401199999999999</v>
      </c>
    </row>
    <row r="48" spans="1:4" x14ac:dyDescent="0.3">
      <c r="A48" t="s">
        <v>73</v>
      </c>
      <c r="B48">
        <v>1.0121600000000002</v>
      </c>
      <c r="C48">
        <v>1.0397400000000001</v>
      </c>
      <c r="D48">
        <v>1.0340499999999999</v>
      </c>
    </row>
    <row r="49" spans="1:4" x14ac:dyDescent="0.3">
      <c r="A49" t="s">
        <v>69</v>
      </c>
      <c r="B49">
        <v>1.0107500000000003</v>
      </c>
      <c r="C49">
        <v>1.0206299999999997</v>
      </c>
      <c r="D49">
        <v>1.0171499999999998</v>
      </c>
    </row>
    <row r="50" spans="1:4" x14ac:dyDescent="0.3">
      <c r="A50" t="s">
        <v>51</v>
      </c>
      <c r="B50">
        <v>1.0673500000000005</v>
      </c>
      <c r="C50">
        <v>1.0026100000000002</v>
      </c>
      <c r="D50">
        <v>1.0162200000000006</v>
      </c>
    </row>
    <row r="51" spans="1:4" x14ac:dyDescent="0.3">
      <c r="A51" t="s">
        <v>76</v>
      </c>
      <c r="B51">
        <v>1</v>
      </c>
      <c r="C51">
        <v>1</v>
      </c>
      <c r="D5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177E-79A5-47DB-8C59-3F82273834F7}">
  <dimension ref="A1:D51"/>
  <sheetViews>
    <sheetView workbookViewId="0">
      <selection sqref="A1:D11"/>
    </sheetView>
  </sheetViews>
  <sheetFormatPr defaultRowHeight="14.4" x14ac:dyDescent="0.3"/>
  <cols>
    <col min="1" max="1" width="50.77734375" customWidth="1"/>
    <col min="2" max="4" width="11" bestFit="1" customWidth="1"/>
  </cols>
  <sheetData>
    <row r="1" spans="1:4" x14ac:dyDescent="0.3">
      <c r="A1" s="1" t="s">
        <v>0</v>
      </c>
      <c r="B1" t="s">
        <v>1</v>
      </c>
      <c r="C1" t="s">
        <v>19</v>
      </c>
      <c r="D1" t="s">
        <v>25</v>
      </c>
    </row>
    <row r="2" spans="1:4" x14ac:dyDescent="0.3">
      <c r="A2" s="1" t="s">
        <v>50</v>
      </c>
      <c r="B2">
        <v>2.2528599999999996</v>
      </c>
      <c r="C2">
        <v>2.2404500000000001</v>
      </c>
      <c r="D2">
        <v>2.4226800000000002</v>
      </c>
    </row>
    <row r="3" spans="1:4" x14ac:dyDescent="0.3">
      <c r="A3" s="1" t="s">
        <v>35</v>
      </c>
      <c r="B3">
        <v>2.10216</v>
      </c>
      <c r="C3">
        <v>2.2821899999999999</v>
      </c>
      <c r="D3">
        <v>2.23752</v>
      </c>
    </row>
    <row r="4" spans="1:4" x14ac:dyDescent="0.3">
      <c r="A4" s="1" t="s">
        <v>46</v>
      </c>
      <c r="B4">
        <v>2.0559699999999994</v>
      </c>
      <c r="C4">
        <v>2.1117699999999999</v>
      </c>
      <c r="D4">
        <v>2.21977</v>
      </c>
    </row>
    <row r="5" spans="1:4" x14ac:dyDescent="0.3">
      <c r="A5" s="1" t="s">
        <v>44</v>
      </c>
      <c r="B5">
        <v>1.9941600000000002</v>
      </c>
      <c r="C5">
        <v>2.1673399999999998</v>
      </c>
      <c r="D5">
        <v>2.2127699999999999</v>
      </c>
    </row>
    <row r="6" spans="1:4" x14ac:dyDescent="0.3">
      <c r="A6" s="1" t="s">
        <v>52</v>
      </c>
      <c r="B6">
        <v>2.1890000000000009</v>
      </c>
      <c r="C6">
        <v>2.1374200000000001</v>
      </c>
      <c r="D6">
        <v>2.1957</v>
      </c>
    </row>
    <row r="7" spans="1:4" x14ac:dyDescent="0.3">
      <c r="A7" s="1" t="s">
        <v>48</v>
      </c>
      <c r="B7">
        <v>2.1331200000000003</v>
      </c>
      <c r="C7">
        <v>2.0328400000000002</v>
      </c>
      <c r="D7">
        <v>2.18554</v>
      </c>
    </row>
    <row r="8" spans="1:4" x14ac:dyDescent="0.3">
      <c r="A8" s="1" t="s">
        <v>36</v>
      </c>
      <c r="B8">
        <v>2.2009900000000004</v>
      </c>
      <c r="C8">
        <v>2.1044800000000001</v>
      </c>
      <c r="D8">
        <v>2.1797200000000001</v>
      </c>
    </row>
    <row r="9" spans="1:4" x14ac:dyDescent="0.3">
      <c r="A9" s="1" t="s">
        <v>38</v>
      </c>
      <c r="B9">
        <v>2.1123099999999995</v>
      </c>
      <c r="C9">
        <v>2.0646900000000001</v>
      </c>
      <c r="D9">
        <v>2.1641300000000001</v>
      </c>
    </row>
    <row r="10" spans="1:4" x14ac:dyDescent="0.3">
      <c r="A10" s="1" t="s">
        <v>42</v>
      </c>
      <c r="B10">
        <v>2.01294</v>
      </c>
      <c r="C10">
        <v>2.2176900000000002</v>
      </c>
      <c r="D10">
        <v>2.1639300000000001</v>
      </c>
    </row>
    <row r="11" spans="1:4" x14ac:dyDescent="0.3">
      <c r="A11" s="1" t="s">
        <v>49</v>
      </c>
      <c r="B11">
        <v>2.0320400000000003</v>
      </c>
      <c r="C11">
        <v>1.98871</v>
      </c>
      <c r="D11">
        <v>2.1355300000000002</v>
      </c>
    </row>
    <row r="12" spans="1:4" ht="28.8" x14ac:dyDescent="0.3">
      <c r="A12" s="1" t="s">
        <v>41</v>
      </c>
      <c r="B12">
        <v>1.9141500000000002</v>
      </c>
      <c r="C12">
        <v>2.0752799999999998</v>
      </c>
      <c r="D12">
        <v>2.1252499999999999</v>
      </c>
    </row>
    <row r="13" spans="1:4" ht="28.8" x14ac:dyDescent="0.3">
      <c r="A13" s="1" t="s">
        <v>53</v>
      </c>
      <c r="B13">
        <v>2.0566500000000003</v>
      </c>
      <c r="C13">
        <v>1.9606600000000001</v>
      </c>
      <c r="D13">
        <v>2.0767600000000002</v>
      </c>
    </row>
    <row r="14" spans="1:4" x14ac:dyDescent="0.3">
      <c r="A14" s="1" t="s">
        <v>63</v>
      </c>
      <c r="B14">
        <v>2.1445100000000004</v>
      </c>
      <c r="C14">
        <v>1.86561</v>
      </c>
      <c r="D14">
        <v>2.0129899999999998</v>
      </c>
    </row>
    <row r="15" spans="1:4" x14ac:dyDescent="0.3">
      <c r="A15" s="1" t="s">
        <v>56</v>
      </c>
      <c r="B15">
        <v>2.1073799999999996</v>
      </c>
      <c r="C15">
        <v>2.0105300000000002</v>
      </c>
      <c r="D15">
        <v>1.97688</v>
      </c>
    </row>
    <row r="16" spans="1:4" x14ac:dyDescent="0.3">
      <c r="A16" s="1" t="s">
        <v>40</v>
      </c>
      <c r="B16">
        <v>2.0628400000000009</v>
      </c>
      <c r="C16">
        <v>2.0068199999999998</v>
      </c>
      <c r="D16">
        <v>1.9686999999999999</v>
      </c>
    </row>
    <row r="17" spans="1:4" ht="28.8" x14ac:dyDescent="0.3">
      <c r="A17" s="1" t="s">
        <v>55</v>
      </c>
      <c r="B17">
        <v>1.9841699999999995</v>
      </c>
      <c r="C17">
        <v>1.8937200000000001</v>
      </c>
      <c r="D17">
        <v>1.9411499999999999</v>
      </c>
    </row>
    <row r="18" spans="1:4" x14ac:dyDescent="0.3">
      <c r="A18" s="1" t="s">
        <v>45</v>
      </c>
      <c r="B18">
        <v>1.5694600000000003</v>
      </c>
      <c r="C18">
        <v>1.8063199999999999</v>
      </c>
      <c r="D18">
        <v>1.9331400000000001</v>
      </c>
    </row>
    <row r="19" spans="1:4" x14ac:dyDescent="0.3">
      <c r="A19" s="1" t="s">
        <v>47</v>
      </c>
      <c r="B19">
        <v>2.0426099999999994</v>
      </c>
      <c r="C19">
        <v>1.9578100000000001</v>
      </c>
      <c r="D19">
        <v>1.901</v>
      </c>
    </row>
    <row r="20" spans="1:4" x14ac:dyDescent="0.3">
      <c r="A20" s="1" t="s">
        <v>43</v>
      </c>
      <c r="B20">
        <v>1.8455900000000007</v>
      </c>
      <c r="C20">
        <v>1.8728800000000001</v>
      </c>
      <c r="D20">
        <v>1.8503099999999999</v>
      </c>
    </row>
    <row r="21" spans="1:4" x14ac:dyDescent="0.3">
      <c r="A21" s="1" t="s">
        <v>60</v>
      </c>
      <c r="B21">
        <v>2.2874800000000008</v>
      </c>
      <c r="C21">
        <v>1.9966999999999999</v>
      </c>
      <c r="D21">
        <v>1.7999700000000001</v>
      </c>
    </row>
    <row r="22" spans="1:4" x14ac:dyDescent="0.3">
      <c r="A22" s="1" t="s">
        <v>65</v>
      </c>
      <c r="B22">
        <v>2.23699</v>
      </c>
      <c r="C22">
        <v>1.8653500000000001</v>
      </c>
      <c r="D22">
        <v>1.79382</v>
      </c>
    </row>
    <row r="23" spans="1:4" x14ac:dyDescent="0.3">
      <c r="A23" s="1" t="s">
        <v>64</v>
      </c>
      <c r="B23">
        <v>2.0115600000000002</v>
      </c>
      <c r="C23">
        <v>1.79901</v>
      </c>
      <c r="D23">
        <v>1.78077</v>
      </c>
    </row>
    <row r="24" spans="1:4" x14ac:dyDescent="0.3">
      <c r="A24" s="1" t="s">
        <v>62</v>
      </c>
      <c r="B24">
        <v>1.33843</v>
      </c>
      <c r="C24">
        <v>1.63815</v>
      </c>
      <c r="D24">
        <v>1.7268300000000001</v>
      </c>
    </row>
    <row r="25" spans="1:4" x14ac:dyDescent="0.3">
      <c r="A25" s="1" t="s">
        <v>67</v>
      </c>
      <c r="B25">
        <v>1.7332199999999998</v>
      </c>
      <c r="C25">
        <v>1.6336900000000001</v>
      </c>
      <c r="D25">
        <v>1.68059</v>
      </c>
    </row>
    <row r="26" spans="1:4" x14ac:dyDescent="0.3">
      <c r="A26" s="1" t="s">
        <v>32</v>
      </c>
      <c r="B26">
        <v>1.4739199999999997</v>
      </c>
      <c r="C26">
        <v>1.7738100000000001</v>
      </c>
      <c r="D26">
        <v>1.6447499999999999</v>
      </c>
    </row>
    <row r="27" spans="1:4" x14ac:dyDescent="0.3">
      <c r="A27" s="1" t="s">
        <v>74</v>
      </c>
      <c r="B27">
        <v>1.8740399999999999</v>
      </c>
      <c r="C27">
        <v>1.6261699999999999</v>
      </c>
      <c r="D27">
        <v>1.6010800000000001</v>
      </c>
    </row>
    <row r="28" spans="1:4" x14ac:dyDescent="0.3">
      <c r="A28" s="1" t="s">
        <v>37</v>
      </c>
      <c r="B28">
        <v>1.88083</v>
      </c>
      <c r="C28">
        <v>1.6127</v>
      </c>
      <c r="D28">
        <v>1.5851900000000001</v>
      </c>
    </row>
    <row r="29" spans="1:4" x14ac:dyDescent="0.3">
      <c r="A29" s="1" t="s">
        <v>33</v>
      </c>
      <c r="B29">
        <v>1.61686</v>
      </c>
      <c r="C29">
        <v>1.7640499999999999</v>
      </c>
      <c r="D29">
        <v>1.5645800000000001</v>
      </c>
    </row>
    <row r="30" spans="1:4" x14ac:dyDescent="0.3">
      <c r="A30" s="1" t="s">
        <v>61</v>
      </c>
      <c r="B30">
        <v>1.8484799999999999</v>
      </c>
      <c r="C30">
        <v>1.7165600000000001</v>
      </c>
      <c r="D30">
        <v>1.5522199999999999</v>
      </c>
    </row>
    <row r="31" spans="1:4" x14ac:dyDescent="0.3">
      <c r="A31" s="1" t="s">
        <v>58</v>
      </c>
      <c r="B31">
        <v>1.8587800000000005</v>
      </c>
      <c r="C31">
        <v>1.7335</v>
      </c>
      <c r="D31">
        <v>1.5480100000000001</v>
      </c>
    </row>
    <row r="32" spans="1:4" x14ac:dyDescent="0.3">
      <c r="A32" s="1" t="s">
        <v>51</v>
      </c>
      <c r="B32">
        <v>1.4783200000000001</v>
      </c>
      <c r="C32">
        <v>1.84406</v>
      </c>
      <c r="D32">
        <v>1.5388900000000001</v>
      </c>
    </row>
    <row r="33" spans="1:4" x14ac:dyDescent="0.3">
      <c r="A33" s="1" t="s">
        <v>70</v>
      </c>
      <c r="B33">
        <v>1.67774</v>
      </c>
      <c r="C33">
        <v>1.53027</v>
      </c>
      <c r="D33">
        <v>1.5173099999999999</v>
      </c>
    </row>
    <row r="34" spans="1:4" x14ac:dyDescent="0.3">
      <c r="A34" s="1" t="s">
        <v>75</v>
      </c>
      <c r="B34">
        <v>1.7475499999999999</v>
      </c>
      <c r="C34">
        <v>1.4911399999999999</v>
      </c>
      <c r="D34">
        <v>1.4846200000000001</v>
      </c>
    </row>
    <row r="35" spans="1:4" x14ac:dyDescent="0.3">
      <c r="A35" s="1" t="s">
        <v>69</v>
      </c>
      <c r="B35">
        <v>1.6738099999999998</v>
      </c>
      <c r="C35">
        <v>1.5023599999999999</v>
      </c>
      <c r="D35">
        <v>1.4777400000000001</v>
      </c>
    </row>
    <row r="36" spans="1:4" x14ac:dyDescent="0.3">
      <c r="A36" s="1" t="s">
        <v>34</v>
      </c>
      <c r="B36">
        <v>1.2150200000000002</v>
      </c>
      <c r="C36">
        <v>1.3352999999999999</v>
      </c>
      <c r="D36">
        <v>1.47621</v>
      </c>
    </row>
    <row r="37" spans="1:4" x14ac:dyDescent="0.3">
      <c r="A37" s="1" t="s">
        <v>73</v>
      </c>
      <c r="B37">
        <v>1.6103599999999998</v>
      </c>
      <c r="C37">
        <v>1.40082</v>
      </c>
      <c r="D37">
        <v>1.45706</v>
      </c>
    </row>
    <row r="38" spans="1:4" x14ac:dyDescent="0.3">
      <c r="A38" s="1" t="s">
        <v>54</v>
      </c>
      <c r="B38">
        <v>1.9615100000000001</v>
      </c>
      <c r="C38">
        <v>1.6933499999999999</v>
      </c>
      <c r="D38">
        <v>1.4351799999999999</v>
      </c>
    </row>
    <row r="39" spans="1:4" x14ac:dyDescent="0.3">
      <c r="A39" s="1" t="s">
        <v>30</v>
      </c>
      <c r="B39">
        <v>1.49719</v>
      </c>
      <c r="C39">
        <v>1.51325</v>
      </c>
      <c r="D39">
        <v>1.42611</v>
      </c>
    </row>
    <row r="40" spans="1:4" x14ac:dyDescent="0.3">
      <c r="A40" s="1" t="s">
        <v>66</v>
      </c>
      <c r="B40">
        <v>1.5551000000000001</v>
      </c>
      <c r="C40">
        <v>1.43719</v>
      </c>
      <c r="D40">
        <v>1.3852500000000001</v>
      </c>
    </row>
    <row r="41" spans="1:4" x14ac:dyDescent="0.3">
      <c r="A41" s="1" t="s">
        <v>31</v>
      </c>
      <c r="B41">
        <v>1.6392799999999998</v>
      </c>
      <c r="C41">
        <v>1.2524</v>
      </c>
      <c r="D41">
        <v>1.30376</v>
      </c>
    </row>
    <row r="42" spans="1:4" x14ac:dyDescent="0.3">
      <c r="A42" s="1" t="s">
        <v>27</v>
      </c>
      <c r="B42">
        <v>1.4685399999999997</v>
      </c>
      <c r="C42">
        <v>1.2719499999999999</v>
      </c>
      <c r="D42">
        <v>1.2983800000000001</v>
      </c>
    </row>
    <row r="43" spans="1:4" x14ac:dyDescent="0.3">
      <c r="A43" s="1" t="s">
        <v>39</v>
      </c>
      <c r="B43">
        <v>1.6947400000000006</v>
      </c>
      <c r="C43">
        <v>1.24366</v>
      </c>
      <c r="D43">
        <v>1.27149</v>
      </c>
    </row>
    <row r="44" spans="1:4" x14ac:dyDescent="0.3">
      <c r="A44" s="1" t="s">
        <v>57</v>
      </c>
      <c r="B44">
        <v>1.5172899999999998</v>
      </c>
      <c r="C44">
        <v>1.22827</v>
      </c>
      <c r="D44">
        <v>1.26214</v>
      </c>
    </row>
    <row r="45" spans="1:4" x14ac:dyDescent="0.3">
      <c r="A45" s="1" t="s">
        <v>68</v>
      </c>
      <c r="B45">
        <v>1.3822100000000002</v>
      </c>
      <c r="C45">
        <v>1.2396199999999999</v>
      </c>
      <c r="D45">
        <v>1.2486600000000001</v>
      </c>
    </row>
    <row r="46" spans="1:4" ht="28.8" x14ac:dyDescent="0.3">
      <c r="A46" s="1" t="s">
        <v>71</v>
      </c>
      <c r="B46">
        <v>1.4946700000000002</v>
      </c>
      <c r="C46">
        <v>1.29931</v>
      </c>
      <c r="D46">
        <v>1.24854</v>
      </c>
    </row>
    <row r="47" spans="1:4" x14ac:dyDescent="0.3">
      <c r="A47" s="1" t="s">
        <v>59</v>
      </c>
      <c r="B47">
        <v>1.6365099999999999</v>
      </c>
      <c r="C47">
        <v>1.31839</v>
      </c>
      <c r="D47">
        <v>1.2149700000000001</v>
      </c>
    </row>
    <row r="48" spans="1:4" x14ac:dyDescent="0.3">
      <c r="A48" s="1" t="s">
        <v>28</v>
      </c>
      <c r="B48">
        <v>1.2562899999999999</v>
      </c>
      <c r="C48">
        <v>1.22082</v>
      </c>
      <c r="D48">
        <v>1.2124600000000001</v>
      </c>
    </row>
    <row r="49" spans="1:4" x14ac:dyDescent="0.3">
      <c r="A49" s="1" t="s">
        <v>29</v>
      </c>
      <c r="B49">
        <v>1.3650000000000004</v>
      </c>
      <c r="C49">
        <v>1.17665</v>
      </c>
      <c r="D49">
        <v>1.2021900000000001</v>
      </c>
    </row>
    <row r="50" spans="1:4" x14ac:dyDescent="0.3">
      <c r="A50" s="1" t="s">
        <v>72</v>
      </c>
      <c r="B50">
        <v>1.4420000000000002</v>
      </c>
      <c r="C50">
        <v>1.2634300000000001</v>
      </c>
      <c r="D50">
        <v>1.13907</v>
      </c>
    </row>
    <row r="51" spans="1:4" ht="28.8" x14ac:dyDescent="0.3">
      <c r="A51" s="1" t="s">
        <v>76</v>
      </c>
      <c r="B51">
        <v>1</v>
      </c>
      <c r="C51">
        <v>1</v>
      </c>
      <c r="D5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92ED-DB49-4D87-A0A1-23D2EBEFB655}">
  <dimension ref="A1:E14"/>
  <sheetViews>
    <sheetView workbookViewId="0">
      <selection sqref="A1:E14"/>
    </sheetView>
  </sheetViews>
  <sheetFormatPr defaultRowHeight="14.4" x14ac:dyDescent="0.3"/>
  <cols>
    <col min="2" max="2" width="10.44140625" bestFit="1" customWidth="1"/>
    <col min="4" max="4" width="10.33203125" bestFit="1" customWidth="1"/>
  </cols>
  <sheetData>
    <row r="1" spans="1:5" x14ac:dyDescent="0.3">
      <c r="B1" t="s">
        <v>91</v>
      </c>
      <c r="C1" t="s">
        <v>93</v>
      </c>
      <c r="D1" t="s">
        <v>92</v>
      </c>
      <c r="E1" t="s">
        <v>94</v>
      </c>
    </row>
    <row r="2" spans="1:5" x14ac:dyDescent="0.3">
      <c r="A2">
        <v>2010</v>
      </c>
      <c r="B2">
        <v>1.7857326000000002</v>
      </c>
      <c r="C2">
        <v>0.31093970941524679</v>
      </c>
      <c r="D2">
        <v>1.7857325999999998</v>
      </c>
      <c r="E2">
        <v>0.98086244580942117</v>
      </c>
    </row>
    <row r="3" spans="1:5" x14ac:dyDescent="0.3">
      <c r="A3">
        <v>2011</v>
      </c>
      <c r="B3">
        <v>1.718736</v>
      </c>
      <c r="C3">
        <v>0.29631499278301782</v>
      </c>
      <c r="D3">
        <v>1.7187352000000007</v>
      </c>
      <c r="E3">
        <v>0.96966897285875731</v>
      </c>
    </row>
    <row r="4" spans="1:5" x14ac:dyDescent="0.3">
      <c r="A4">
        <v>2012</v>
      </c>
      <c r="B4">
        <v>1.6930512000000002</v>
      </c>
      <c r="C4">
        <v>0.30447121237082597</v>
      </c>
      <c r="D4">
        <v>1.6930536000000003</v>
      </c>
      <c r="E4">
        <v>0.89129222923294837</v>
      </c>
    </row>
    <row r="5" spans="1:5" x14ac:dyDescent="0.3">
      <c r="A5">
        <v>2013</v>
      </c>
      <c r="B5">
        <v>1.6975690000000001</v>
      </c>
      <c r="C5">
        <v>0.30467454696610285</v>
      </c>
      <c r="D5">
        <v>1.6975676000000002</v>
      </c>
      <c r="E5">
        <v>0.90130913609828611</v>
      </c>
    </row>
    <row r="6" spans="1:5" x14ac:dyDescent="0.3">
      <c r="A6">
        <v>2014</v>
      </c>
      <c r="B6">
        <v>1.7049313999999998</v>
      </c>
      <c r="C6">
        <v>0.3279040264346274</v>
      </c>
      <c r="D6">
        <v>1.7049266000000003</v>
      </c>
      <c r="E6">
        <v>0.8595155455292468</v>
      </c>
    </row>
    <row r="7" spans="1:5" x14ac:dyDescent="0.3">
      <c r="A7">
        <v>2015</v>
      </c>
      <c r="B7">
        <v>1.6645251999999999</v>
      </c>
      <c r="C7">
        <v>0.29524269108812812</v>
      </c>
      <c r="D7">
        <v>1.6645247999999992</v>
      </c>
      <c r="E7">
        <v>0.73624899438774283</v>
      </c>
    </row>
    <row r="8" spans="1:5" x14ac:dyDescent="0.3">
      <c r="A8">
        <v>2016</v>
      </c>
      <c r="B8">
        <v>1.6298069999999998</v>
      </c>
      <c r="C8">
        <v>0.2908049997180252</v>
      </c>
      <c r="D8">
        <v>1.6298080000000001</v>
      </c>
      <c r="E8">
        <v>0.64018116324053176</v>
      </c>
    </row>
    <row r="9" spans="1:5" x14ac:dyDescent="0.3">
      <c r="A9">
        <v>2017</v>
      </c>
      <c r="B9">
        <v>1.6790776000000003</v>
      </c>
      <c r="C9">
        <v>0.31353926676293348</v>
      </c>
      <c r="D9">
        <v>1.6790772</v>
      </c>
      <c r="E9">
        <v>0.776371902008413</v>
      </c>
    </row>
    <row r="10" spans="1:5" x14ac:dyDescent="0.3">
      <c r="A10">
        <v>2018</v>
      </c>
      <c r="B10">
        <v>1.6857830000000005</v>
      </c>
      <c r="C10">
        <v>0.32593896230582564</v>
      </c>
      <c r="D10">
        <v>1.6857824000000001</v>
      </c>
      <c r="E10">
        <v>0.7727951886329516</v>
      </c>
    </row>
    <row r="11" spans="1:5" x14ac:dyDescent="0.3">
      <c r="A11">
        <v>2019</v>
      </c>
      <c r="B11">
        <v>1.7043828000000003</v>
      </c>
      <c r="C11">
        <v>0.33683264047915368</v>
      </c>
      <c r="D11">
        <v>1.7043845999999996</v>
      </c>
      <c r="E11">
        <v>0.80084744634221194</v>
      </c>
    </row>
    <row r="12" spans="1:5" x14ac:dyDescent="0.3">
      <c r="A12">
        <v>2020</v>
      </c>
      <c r="B12">
        <v>1.6958772000000004</v>
      </c>
      <c r="C12">
        <v>0.33593350735548511</v>
      </c>
      <c r="D12">
        <v>1.6958763999999997</v>
      </c>
      <c r="E12">
        <v>0.76054961978495583</v>
      </c>
    </row>
    <row r="13" spans="1:5" x14ac:dyDescent="0.3">
      <c r="A13">
        <v>2021</v>
      </c>
      <c r="B13">
        <v>1.7033177999999998</v>
      </c>
      <c r="C13">
        <v>0.35074321806296116</v>
      </c>
      <c r="D13">
        <v>1.7033132000000006</v>
      </c>
      <c r="E13">
        <v>0.77887284223919306</v>
      </c>
    </row>
    <row r="14" spans="1:5" x14ac:dyDescent="0.3">
      <c r="A14">
        <v>2022</v>
      </c>
      <c r="B14">
        <v>1.6956262000000002</v>
      </c>
      <c r="C14">
        <v>0.36526985279866703</v>
      </c>
      <c r="D14">
        <v>1.6956255999999996</v>
      </c>
      <c r="E14">
        <v>0.77604686989423521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FCCC-B155-4DFA-A196-C60A84404213}">
  <dimension ref="A1:P52"/>
  <sheetViews>
    <sheetView workbookViewId="0">
      <selection activeCell="P1" sqref="P1:P1048576"/>
    </sheetView>
  </sheetViews>
  <sheetFormatPr defaultRowHeight="14.4" x14ac:dyDescent="0.3"/>
  <cols>
    <col min="1" max="1" width="8.88671875" customWidth="1"/>
    <col min="3" max="3" width="13.33203125" customWidth="1"/>
    <col min="4" max="5" width="8.88671875" customWidth="1"/>
    <col min="6" max="6" width="18.109375" customWidth="1"/>
    <col min="10" max="10" width="12.5546875" customWidth="1"/>
    <col min="11" max="11" width="27.33203125" customWidth="1"/>
  </cols>
  <sheetData>
    <row r="1" spans="1:16" ht="67.8" customHeight="1" x14ac:dyDescent="0.3">
      <c r="A1" t="s">
        <v>0</v>
      </c>
      <c r="B1" t="s">
        <v>1</v>
      </c>
      <c r="C1" s="1" t="s">
        <v>81</v>
      </c>
      <c r="D1" t="s">
        <v>2</v>
      </c>
      <c r="E1" t="s">
        <v>82</v>
      </c>
      <c r="F1" t="s">
        <v>80</v>
      </c>
      <c r="G1" s="6" t="s">
        <v>19</v>
      </c>
      <c r="H1" s="9" t="s">
        <v>81</v>
      </c>
      <c r="I1" s="6" t="s">
        <v>20</v>
      </c>
      <c r="J1" s="8" t="s">
        <v>82</v>
      </c>
      <c r="K1" t="s">
        <v>80</v>
      </c>
      <c r="L1" s="6" t="s">
        <v>25</v>
      </c>
      <c r="M1" s="9" t="s">
        <v>81</v>
      </c>
      <c r="N1" s="6" t="s">
        <v>26</v>
      </c>
      <c r="O1" s="10" t="s">
        <v>82</v>
      </c>
      <c r="P1" t="s">
        <v>80</v>
      </c>
    </row>
    <row r="2" spans="1:16" x14ac:dyDescent="0.3">
      <c r="A2" t="s">
        <v>27</v>
      </c>
      <c r="B2">
        <v>1.4685399999999997</v>
      </c>
      <c r="C2" t="s">
        <v>78</v>
      </c>
      <c r="D2">
        <v>4.3651100000000005</v>
      </c>
      <c r="E2" t="s">
        <v>79</v>
      </c>
      <c r="F2" t="str" cm="1">
        <f t="array" ref="F2">_xlfn.IFS(C2 &amp; E2="HighHigh","Intermediate Manufacture",C2 &amp; E2="HighLow","Final Manufacture",C2 &amp; E2="LowHigh","Intermediate Primary Production",C2 &amp; E2="LowLow","Final Primary Production")</f>
        <v>Intermediate Primary Production</v>
      </c>
      <c r="G2">
        <v>1.2719499999999999</v>
      </c>
      <c r="H2" t="str">
        <f>IF(G2&gt;=$G$52,"High","Low")</f>
        <v>Low</v>
      </c>
      <c r="I2">
        <v>2.6215799999999994</v>
      </c>
      <c r="J2" t="str">
        <f>IF(I2&gt;=$I$52,"High","Low")</f>
        <v>High</v>
      </c>
      <c r="K2" t="str" cm="1">
        <f t="array" ref="K2">_xlfn.IFS(H2 &amp; J2="HighHigh","Intermediate Manufacture",H2 &amp; J2="HighLow","Final Manufacture",H2 &amp; J2="LowHigh","Intermediate Primary Production",H2 &amp; J2="LowLow","Final Primary Production")</f>
        <v>Intermediate Primary Production</v>
      </c>
      <c r="L2">
        <v>1.2983800000000001</v>
      </c>
      <c r="M2" t="str">
        <f>IF(L2&gt;=$L$52,"High","Low")</f>
        <v>Low</v>
      </c>
      <c r="N2">
        <v>2.4005000000000014</v>
      </c>
      <c r="O2" t="str">
        <f>IF(N2&gt;=$N$52,"High","Low")</f>
        <v>High</v>
      </c>
      <c r="P2" t="str" cm="1">
        <f t="array" ref="P2">_xlfn.IFS(M2 &amp; O2="HighHigh","Intermediate Manufacture",M2 &amp; O2="HighLow","Final Manufacture",M2 &amp; O2="LowHigh","Intermediate Primary Production",M2 &amp; O2="LowLow","Final Primary Production")</f>
        <v>Intermediate Primary Production</v>
      </c>
    </row>
    <row r="3" spans="1:16" x14ac:dyDescent="0.3">
      <c r="A3" t="s">
        <v>28</v>
      </c>
      <c r="B3">
        <v>1.2562899999999999</v>
      </c>
      <c r="C3" t="s">
        <v>78</v>
      </c>
      <c r="D3">
        <v>2.0109400000000002</v>
      </c>
      <c r="E3" t="s">
        <v>79</v>
      </c>
      <c r="F3" t="str" cm="1">
        <f t="array" ref="F3">_xlfn.IFS(C3 &amp; E3="HighHigh","Intermediate Manufacture",C3 &amp; E3="HighLow","Final Manufacture",C3 &amp; E3="LowHigh","Intermediate Primary Production",C3 &amp; E3="LowLow","Final Primary Production")</f>
        <v>Intermediate Primary Production</v>
      </c>
      <c r="G3">
        <v>1.22082</v>
      </c>
      <c r="H3" t="str">
        <f t="shared" ref="H3:H51" si="0">IF(G3&gt;=$G$52,"High","Low")</f>
        <v>Low</v>
      </c>
      <c r="I3">
        <v>1.72088</v>
      </c>
      <c r="J3" t="str">
        <f t="shared" ref="J3:J51" si="1">IF(I3&gt;=$I$52,"High","Low")</f>
        <v>High</v>
      </c>
      <c r="K3" t="str" cm="1">
        <f t="array" ref="K3">_xlfn.IFS(H3 &amp; J3="HighHigh","Intermediate Manufacture",H3 &amp; J3="HighLow","Final Manufacture",H3 &amp; J3="LowHigh","Intermediate Primary Production",H3 &amp; J3="LowLow","Final Primary Production")</f>
        <v>Intermediate Primary Production</v>
      </c>
      <c r="L3">
        <v>1.2124600000000001</v>
      </c>
      <c r="M3" t="str">
        <f t="shared" ref="M3:M51" si="2">IF(L3&gt;=$L$52,"High","Low")</f>
        <v>Low</v>
      </c>
      <c r="N3">
        <v>1.9837699999999994</v>
      </c>
      <c r="O3" t="str">
        <f t="shared" ref="O3:O51" si="3">IF(N3&gt;=$N$52,"High","Low")</f>
        <v>High</v>
      </c>
      <c r="P3" t="str" cm="1">
        <f t="array" ref="P3">_xlfn.IFS(M3 &amp; O3="HighHigh","Intermediate Manufacture",M3 &amp; O3="HighLow","Final Manufacture",M3 &amp; O3="LowHigh","Intermediate Primary Production",M3 &amp; O3="LowLow","Final Primary Production")</f>
        <v>Intermediate Primary Production</v>
      </c>
    </row>
    <row r="4" spans="1:16" x14ac:dyDescent="0.3">
      <c r="A4" t="s">
        <v>29</v>
      </c>
      <c r="B4">
        <v>1.3650000000000004</v>
      </c>
      <c r="C4" t="s">
        <v>78</v>
      </c>
      <c r="D4">
        <v>1.1498099999999989</v>
      </c>
      <c r="E4" t="s">
        <v>78</v>
      </c>
      <c r="F4" t="str" cm="1">
        <f t="array" ref="F4">_xlfn.IFS(C4 &amp; E4="HighHigh","Intermediate Manufacture",C4 &amp; E4="HighLow","Final Manufacture",C4 &amp; E4="LowHigh","Intermediate Primary Production",C4 &amp; E4="LowLow","Final Primary Production")</f>
        <v>Final Primary Production</v>
      </c>
      <c r="G4">
        <v>1.17665</v>
      </c>
      <c r="H4" t="str">
        <f t="shared" si="0"/>
        <v>Low</v>
      </c>
      <c r="I4">
        <v>1.0556099999999997</v>
      </c>
      <c r="J4" t="str">
        <f t="shared" si="1"/>
        <v>Low</v>
      </c>
      <c r="K4" t="str" cm="1">
        <f t="array" ref="K4">_xlfn.IFS(H4 &amp; J4="HighHigh","Intermediate Manufacture",H4 &amp; J4="HighLow","Final Manufacture",H4 &amp; J4="LowHigh","Intermediate Primary Production",H4 &amp; J4="LowLow","Final Primary Production")</f>
        <v>Final Primary Production</v>
      </c>
      <c r="L4">
        <v>1.2021900000000001</v>
      </c>
      <c r="M4" t="str">
        <f t="shared" si="2"/>
        <v>Low</v>
      </c>
      <c r="N4">
        <v>1.0724800000000003</v>
      </c>
      <c r="O4" t="str">
        <f t="shared" si="3"/>
        <v>Low</v>
      </c>
      <c r="P4" t="str" cm="1">
        <f t="array" ref="P4">_xlfn.IFS(M4 &amp; O4="HighHigh","Intermediate Manufacture",M4 &amp; O4="HighLow","Final Manufacture",M4 &amp; O4="LowHigh","Intermediate Primary Production",M4 &amp; O4="LowLow","Final Primary Production")</f>
        <v>Final Primary Production</v>
      </c>
    </row>
    <row r="5" spans="1:16" x14ac:dyDescent="0.3">
      <c r="A5" t="s">
        <v>30</v>
      </c>
      <c r="B5">
        <v>1.49719</v>
      </c>
      <c r="C5" t="s">
        <v>78</v>
      </c>
      <c r="D5">
        <v>1.5292000000000001</v>
      </c>
      <c r="E5" t="s">
        <v>78</v>
      </c>
      <c r="F5" t="str" cm="1">
        <f t="array" ref="F5">_xlfn.IFS(C5 &amp; E5="HighHigh","Intermediate Manufacture",C5 &amp; E5="HighLow","Final Manufacture",C5 &amp; E5="LowHigh","Intermediate Primary Production",C5 &amp; E5="LowLow","Final Primary Production")</f>
        <v>Final Primary Production</v>
      </c>
      <c r="G5">
        <v>1.51325</v>
      </c>
      <c r="H5" t="str">
        <f t="shared" si="0"/>
        <v>Low</v>
      </c>
      <c r="I5">
        <v>1.4085900000000013</v>
      </c>
      <c r="J5" t="str">
        <f t="shared" si="1"/>
        <v>Low</v>
      </c>
      <c r="K5" t="str" cm="1">
        <f t="array" ref="K5">_xlfn.IFS(H5 &amp; J5="HighHigh","Intermediate Manufacture",H5 &amp; J5="HighLow","Final Manufacture",H5 &amp; J5="LowHigh","Intermediate Primary Production",H5 &amp; J5="LowLow","Final Primary Production")</f>
        <v>Final Primary Production</v>
      </c>
      <c r="L5">
        <v>1.42611</v>
      </c>
      <c r="M5" t="str">
        <f t="shared" si="2"/>
        <v>Low</v>
      </c>
      <c r="N5">
        <v>1.3908999999999994</v>
      </c>
      <c r="O5" t="str">
        <f t="shared" si="3"/>
        <v>Low</v>
      </c>
      <c r="P5" t="str" cm="1">
        <f t="array" ref="P5">_xlfn.IFS(M5 &amp; O5="HighHigh","Intermediate Manufacture",M5 &amp; O5="HighLow","Final Manufacture",M5 &amp; O5="LowHigh","Intermediate Primary Production",M5 &amp; O5="LowLow","Final Primary Production")</f>
        <v>Final Primary Production</v>
      </c>
    </row>
    <row r="6" spans="1:16" x14ac:dyDescent="0.3">
      <c r="A6" t="s">
        <v>31</v>
      </c>
      <c r="B6">
        <v>1.6392799999999998</v>
      </c>
      <c r="C6" t="s">
        <v>78</v>
      </c>
      <c r="D6">
        <v>2.15036</v>
      </c>
      <c r="E6" t="s">
        <v>79</v>
      </c>
      <c r="F6" t="str" cm="1">
        <f t="array" ref="F6">_xlfn.IFS(C6 &amp; E6="HighHigh","Intermediate Manufacture",C6 &amp; E6="HighLow","Final Manufacture",C6 &amp; E6="LowHigh","Intermediate Primary Production",C6 &amp; E6="LowLow","Final Primary Production")</f>
        <v>Intermediate Primary Production</v>
      </c>
      <c r="G6">
        <v>1.2524</v>
      </c>
      <c r="H6" t="str">
        <f t="shared" si="0"/>
        <v>Low</v>
      </c>
      <c r="I6">
        <v>1.3447300000000004</v>
      </c>
      <c r="J6" t="str">
        <f t="shared" si="1"/>
        <v>Low</v>
      </c>
      <c r="K6" t="str" cm="1">
        <f t="array" ref="K6">_xlfn.IFS(H6 &amp; J6="HighHigh","Intermediate Manufacture",H6 &amp; J6="HighLow","Final Manufacture",H6 &amp; J6="LowHigh","Intermediate Primary Production",H6 &amp; J6="LowLow","Final Primary Production")</f>
        <v>Final Primary Production</v>
      </c>
      <c r="L6">
        <v>1.30376</v>
      </c>
      <c r="M6" t="str">
        <f t="shared" si="2"/>
        <v>Low</v>
      </c>
      <c r="N6">
        <v>1.3254800000000004</v>
      </c>
      <c r="O6" t="str">
        <f t="shared" si="3"/>
        <v>Low</v>
      </c>
      <c r="P6" t="str" cm="1">
        <f t="array" ref="P6">_xlfn.IFS(M6 &amp; O6="HighHigh","Intermediate Manufacture",M6 &amp; O6="HighLow","Final Manufacture",M6 &amp; O6="LowHigh","Intermediate Primary Production",M6 &amp; O6="LowLow","Final Primary Production")</f>
        <v>Final Primary Production</v>
      </c>
    </row>
    <row r="7" spans="1:16" x14ac:dyDescent="0.3">
      <c r="A7" t="s">
        <v>32</v>
      </c>
      <c r="B7">
        <v>1.4739199999999997</v>
      </c>
      <c r="C7" t="s">
        <v>78</v>
      </c>
      <c r="D7">
        <v>1.38504</v>
      </c>
      <c r="E7" t="s">
        <v>78</v>
      </c>
      <c r="F7" t="str" cm="1">
        <f t="array" ref="F7">_xlfn.IFS(C7 &amp; E7="HighHigh","Intermediate Manufacture",C7 &amp; E7="HighLow","Final Manufacture",C7 &amp; E7="LowHigh","Intermediate Primary Production",C7 &amp; E7="LowLow","Final Primary Production")</f>
        <v>Final Primary Production</v>
      </c>
      <c r="G7">
        <v>1.7738100000000001</v>
      </c>
      <c r="H7" t="str">
        <f t="shared" si="0"/>
        <v>High</v>
      </c>
      <c r="I7">
        <v>1.5361</v>
      </c>
      <c r="J7" t="str">
        <f t="shared" si="1"/>
        <v>Low</v>
      </c>
      <c r="K7" t="str" cm="1">
        <f t="array" ref="K7">_xlfn.IFS(H7 &amp; J7="HighHigh","Intermediate Manufacture",H7 &amp; J7="HighLow","Final Manufacture",H7 &amp; J7="LowHigh","Intermediate Primary Production",H7 &amp; J7="LowLow","Final Primary Production")</f>
        <v>Final Manufacture</v>
      </c>
      <c r="L7">
        <v>1.6447499999999999</v>
      </c>
      <c r="M7" t="str">
        <f t="shared" si="2"/>
        <v>Low</v>
      </c>
      <c r="N7">
        <v>1.7281099999999998</v>
      </c>
      <c r="O7" t="str">
        <f t="shared" si="3"/>
        <v>High</v>
      </c>
      <c r="P7" t="str" cm="1">
        <f t="array" ref="P7">_xlfn.IFS(M7 &amp; O7="HighHigh","Intermediate Manufacture",M7 &amp; O7="HighLow","Final Manufacture",M7 &amp; O7="LowHigh","Intermediate Primary Production",M7 &amp; O7="LowLow","Final Primary Production")</f>
        <v>Intermediate Primary Production</v>
      </c>
    </row>
    <row r="8" spans="1:16" x14ac:dyDescent="0.3">
      <c r="A8" t="s">
        <v>33</v>
      </c>
      <c r="B8">
        <v>1.61686</v>
      </c>
      <c r="C8" t="s">
        <v>78</v>
      </c>
      <c r="D8">
        <v>1.0324500000000001</v>
      </c>
      <c r="E8" t="s">
        <v>78</v>
      </c>
      <c r="F8" t="str" cm="1">
        <f t="array" ref="F8">_xlfn.IFS(C8 &amp; E8="HighHigh","Intermediate Manufacture",C8 &amp; E8="HighLow","Final Manufacture",C8 &amp; E8="LowHigh","Intermediate Primary Production",C8 &amp; E8="LowLow","Final Primary Production")</f>
        <v>Final Primary Production</v>
      </c>
      <c r="G8">
        <v>1.7640499999999999</v>
      </c>
      <c r="H8" t="str">
        <f t="shared" si="0"/>
        <v>High</v>
      </c>
      <c r="I8">
        <v>1.0822199999999993</v>
      </c>
      <c r="J8" t="str">
        <f t="shared" si="1"/>
        <v>Low</v>
      </c>
      <c r="K8" t="str" cm="1">
        <f t="array" ref="K8">_xlfn.IFS(H8 &amp; J8="HighHigh","Intermediate Manufacture",H8 &amp; J8="HighLow","Final Manufacture",H8 &amp; J8="LowHigh","Intermediate Primary Production",H8 &amp; J8="LowLow","Final Primary Production")</f>
        <v>Final Manufacture</v>
      </c>
      <c r="L8">
        <v>1.5645800000000001</v>
      </c>
      <c r="M8" t="str">
        <f t="shared" si="2"/>
        <v>Low</v>
      </c>
      <c r="N8">
        <v>1.0904500000000006</v>
      </c>
      <c r="O8" t="str">
        <f t="shared" si="3"/>
        <v>Low</v>
      </c>
      <c r="P8" t="str" cm="1">
        <f t="array" ref="P8">_xlfn.IFS(M8 &amp; O8="HighHigh","Intermediate Manufacture",M8 &amp; O8="HighLow","Final Manufacture",M8 &amp; O8="LowHigh","Intermediate Primary Production",M8 &amp; O8="LowLow","Final Primary Production")</f>
        <v>Final Primary Production</v>
      </c>
    </row>
    <row r="9" spans="1:16" x14ac:dyDescent="0.3">
      <c r="A9" t="s">
        <v>34</v>
      </c>
      <c r="B9">
        <v>1.2150200000000002</v>
      </c>
      <c r="C9" t="s">
        <v>78</v>
      </c>
      <c r="D9">
        <v>1.4350100000000001</v>
      </c>
      <c r="E9" t="s">
        <v>78</v>
      </c>
      <c r="F9" t="str" cm="1">
        <f t="array" ref="F9">_xlfn.IFS(C9 &amp; E9="HighHigh","Intermediate Manufacture",C9 &amp; E9="HighLow","Final Manufacture",C9 &amp; E9="LowHigh","Intermediate Primary Production",C9 &amp; E9="LowLow","Final Primary Production")</f>
        <v>Final Primary Production</v>
      </c>
      <c r="G9">
        <v>1.3352999999999999</v>
      </c>
      <c r="H9" t="str">
        <f t="shared" si="0"/>
        <v>Low</v>
      </c>
      <c r="I9">
        <v>1.6525099999999999</v>
      </c>
      <c r="J9" t="str">
        <f t="shared" si="1"/>
        <v>Low</v>
      </c>
      <c r="K9" t="str" cm="1">
        <f t="array" ref="K9">_xlfn.IFS(H9 &amp; J9="HighHigh","Intermediate Manufacture",H9 &amp; J9="HighLow","Final Manufacture",H9 &amp; J9="LowHigh","Intermediate Primary Production",H9 &amp; J9="LowLow","Final Primary Production")</f>
        <v>Final Primary Production</v>
      </c>
      <c r="L9">
        <v>1.47621</v>
      </c>
      <c r="M9" t="str">
        <f t="shared" si="2"/>
        <v>Low</v>
      </c>
      <c r="N9">
        <v>1.6877000000000004</v>
      </c>
      <c r="O9" t="str">
        <f t="shared" si="3"/>
        <v>Low</v>
      </c>
      <c r="P9" t="str" cm="1">
        <f t="array" ref="P9">_xlfn.IFS(M9 &amp; O9="HighHigh","Intermediate Manufacture",M9 &amp; O9="HighLow","Final Manufacture",M9 &amp; O9="LowHigh","Intermediate Primary Production",M9 &amp; O9="LowLow","Final Primary Production")</f>
        <v>Final Primary Production</v>
      </c>
    </row>
    <row r="10" spans="1:16" x14ac:dyDescent="0.3">
      <c r="A10" t="s">
        <v>35</v>
      </c>
      <c r="B10">
        <v>2.10216</v>
      </c>
      <c r="C10" t="s">
        <v>79</v>
      </c>
      <c r="D10">
        <v>1.7926000000000011</v>
      </c>
      <c r="E10" t="s">
        <v>79</v>
      </c>
      <c r="F10" t="str" cm="1">
        <f t="array" ref="F10">_xlfn.IFS(C10 &amp; E10="HighHigh","Intermediate Manufacture",C10 &amp; E10="HighLow","Final Manufacture",C10 &amp; E10="LowHigh","Intermediate Primary Production",C10 &amp; E10="LowLow","Final Primary Production")</f>
        <v>Intermediate Manufacture</v>
      </c>
      <c r="G10">
        <v>2.2821899999999999</v>
      </c>
      <c r="H10" t="str">
        <f t="shared" si="0"/>
        <v>High</v>
      </c>
      <c r="I10">
        <v>1.5827499999999997</v>
      </c>
      <c r="J10" t="str">
        <f t="shared" si="1"/>
        <v>Low</v>
      </c>
      <c r="K10" t="str" cm="1">
        <f t="array" ref="K10">_xlfn.IFS(H10 &amp; J10="HighHigh","Intermediate Manufacture",H10 &amp; J10="HighLow","Final Manufacture",H10 &amp; J10="LowHigh","Intermediate Primary Production",H10 &amp; J10="LowLow","Final Primary Production")</f>
        <v>Final Manufacture</v>
      </c>
      <c r="L10">
        <v>2.23752</v>
      </c>
      <c r="M10" t="str">
        <f t="shared" si="2"/>
        <v>High</v>
      </c>
      <c r="N10">
        <v>1.79616</v>
      </c>
      <c r="O10" t="str">
        <f t="shared" si="3"/>
        <v>High</v>
      </c>
      <c r="P10" t="str" cm="1">
        <f t="array" ref="P10">_xlfn.IFS(M10 &amp; O10="HighHigh","Intermediate Manufacture",M10 &amp; O10="HighLow","Final Manufacture",M10 &amp; O10="LowHigh","Intermediate Primary Production",M10 &amp; O10="LowLow","Final Primary Production")</f>
        <v>Intermediate Manufacture</v>
      </c>
    </row>
    <row r="11" spans="1:16" x14ac:dyDescent="0.3">
      <c r="A11" t="s">
        <v>36</v>
      </c>
      <c r="B11">
        <v>2.2009900000000004</v>
      </c>
      <c r="C11" t="s">
        <v>79</v>
      </c>
      <c r="D11">
        <v>1.7814900000000007</v>
      </c>
      <c r="E11" t="s">
        <v>78</v>
      </c>
      <c r="F11" t="str" cm="1">
        <f t="array" ref="F11">_xlfn.IFS(C11 &amp; E11="HighHigh","Intermediate Manufacture",C11 &amp; E11="HighLow","Final Manufacture",C11 &amp; E11="LowHigh","Intermediate Primary Production",C11 &amp; E11="LowLow","Final Primary Production")</f>
        <v>Final Manufacture</v>
      </c>
      <c r="G11">
        <v>2.1044800000000001</v>
      </c>
      <c r="H11" t="str">
        <f t="shared" si="0"/>
        <v>High</v>
      </c>
      <c r="I11">
        <v>1.6240299999999996</v>
      </c>
      <c r="J11" t="str">
        <f t="shared" si="1"/>
        <v>Low</v>
      </c>
      <c r="K11" t="str" cm="1">
        <f t="array" ref="K11">_xlfn.IFS(H11 &amp; J11="HighHigh","Intermediate Manufacture",H11 &amp; J11="HighLow","Final Manufacture",H11 &amp; J11="LowHigh","Intermediate Primary Production",H11 &amp; J11="LowLow","Final Primary Production")</f>
        <v>Final Manufacture</v>
      </c>
      <c r="L11">
        <v>2.1797200000000001</v>
      </c>
      <c r="M11" t="str">
        <f t="shared" si="2"/>
        <v>High</v>
      </c>
      <c r="N11">
        <v>1.6552900000000002</v>
      </c>
      <c r="O11" t="str">
        <f t="shared" si="3"/>
        <v>Low</v>
      </c>
      <c r="P11" t="str" cm="1">
        <f t="array" ref="P11">_xlfn.IFS(M11 &amp; O11="HighHigh","Intermediate Manufacture",M11 &amp; O11="HighLow","Final Manufacture",M11 &amp; O11="LowHigh","Intermediate Primary Production",M11 &amp; O11="LowLow","Final Primary Production")</f>
        <v>Final Manufacture</v>
      </c>
    </row>
    <row r="12" spans="1:16" x14ac:dyDescent="0.3">
      <c r="A12" t="s">
        <v>37</v>
      </c>
      <c r="B12">
        <v>1.88083</v>
      </c>
      <c r="C12" t="s">
        <v>79</v>
      </c>
      <c r="D12">
        <v>1.1451900000000008</v>
      </c>
      <c r="E12" t="s">
        <v>78</v>
      </c>
      <c r="F12" t="str" cm="1">
        <f t="array" ref="F12">_xlfn.IFS(C12 &amp; E12="HighHigh","Intermediate Manufacture",C12 &amp; E12="HighLow","Final Manufacture",C12 &amp; E12="LowHigh","Intermediate Primary Production",C12 &amp; E12="LowLow","Final Primary Production")</f>
        <v>Final Manufacture</v>
      </c>
      <c r="G12">
        <v>1.6127</v>
      </c>
      <c r="H12" t="str">
        <f t="shared" si="0"/>
        <v>Low</v>
      </c>
      <c r="I12">
        <v>1.38717</v>
      </c>
      <c r="J12" t="str">
        <f t="shared" si="1"/>
        <v>Low</v>
      </c>
      <c r="K12" t="str" cm="1">
        <f t="array" ref="K12">_xlfn.IFS(H12 &amp; J12="HighHigh","Intermediate Manufacture",H12 &amp; J12="HighLow","Final Manufacture",H12 &amp; J12="LowHigh","Intermediate Primary Production",H12 &amp; J12="LowLow","Final Primary Production")</f>
        <v>Final Primary Production</v>
      </c>
      <c r="L12">
        <v>1.5851900000000001</v>
      </c>
      <c r="M12" t="str">
        <f t="shared" si="2"/>
        <v>Low</v>
      </c>
      <c r="N12">
        <v>1.2002700000000002</v>
      </c>
      <c r="O12" t="str">
        <f t="shared" si="3"/>
        <v>Low</v>
      </c>
      <c r="P12" t="str" cm="1">
        <f t="array" ref="P12">_xlfn.IFS(M12 &amp; O12="HighHigh","Intermediate Manufacture",M12 &amp; O12="HighLow","Final Manufacture",M12 &amp; O12="LowHigh","Intermediate Primary Production",M12 &amp; O12="LowLow","Final Primary Production")</f>
        <v>Final Primary Production</v>
      </c>
    </row>
    <row r="13" spans="1:16" x14ac:dyDescent="0.3">
      <c r="A13" t="s">
        <v>38</v>
      </c>
      <c r="B13">
        <v>2.1123099999999995</v>
      </c>
      <c r="C13" t="s">
        <v>79</v>
      </c>
      <c r="D13">
        <v>2.0407299999999995</v>
      </c>
      <c r="E13" t="s">
        <v>79</v>
      </c>
      <c r="F13" t="str" cm="1">
        <f t="array" ref="F13">_xlfn.IFS(C13 &amp; E13="HighHigh","Intermediate Manufacture",C13 &amp; E13="HighLow","Final Manufacture",C13 &amp; E13="LowHigh","Intermediate Primary Production",C13 &amp; E13="LowLow","Final Primary Production")</f>
        <v>Intermediate Manufacture</v>
      </c>
      <c r="G13">
        <v>2.0646900000000001</v>
      </c>
      <c r="H13" t="str">
        <f t="shared" si="0"/>
        <v>High</v>
      </c>
      <c r="I13">
        <v>1.7290299999999998</v>
      </c>
      <c r="J13" t="str">
        <f t="shared" si="1"/>
        <v>High</v>
      </c>
      <c r="K13" t="str" cm="1">
        <f t="array" ref="K13">_xlfn.IFS(H13 &amp; J13="HighHigh","Intermediate Manufacture",H13 &amp; J13="HighLow","Final Manufacture",H13 &amp; J13="LowHigh","Intermediate Primary Production",H13 &amp; J13="LowLow","Final Primary Production")</f>
        <v>Intermediate Manufacture</v>
      </c>
      <c r="L13">
        <v>2.1641300000000001</v>
      </c>
      <c r="M13" t="str">
        <f t="shared" si="2"/>
        <v>High</v>
      </c>
      <c r="N13">
        <v>1.8449500000000001</v>
      </c>
      <c r="O13" t="str">
        <f t="shared" si="3"/>
        <v>High</v>
      </c>
      <c r="P13" t="str" cm="1">
        <f t="array" ref="P13">_xlfn.IFS(M13 &amp; O13="HighHigh","Intermediate Manufacture",M13 &amp; O13="HighLow","Final Manufacture",M13 &amp; O13="LowHigh","Intermediate Primary Production",M13 &amp; O13="LowLow","Final Primary Production")</f>
        <v>Intermediate Manufacture</v>
      </c>
    </row>
    <row r="14" spans="1:16" x14ac:dyDescent="0.3">
      <c r="A14" t="s">
        <v>39</v>
      </c>
      <c r="B14">
        <v>1.6947400000000006</v>
      </c>
      <c r="C14" t="s">
        <v>78</v>
      </c>
      <c r="D14">
        <v>5.3925599999999996</v>
      </c>
      <c r="E14" t="s">
        <v>79</v>
      </c>
      <c r="F14" t="str" cm="1">
        <f t="array" ref="F14">_xlfn.IFS(C14 &amp; E14="HighHigh","Intermediate Manufacture",C14 &amp; E14="HighLow","Final Manufacture",C14 &amp; E14="LowHigh","Intermediate Primary Production",C14 &amp; E14="LowLow","Final Primary Production")</f>
        <v>Intermediate Primary Production</v>
      </c>
      <c r="G14">
        <v>1.24366</v>
      </c>
      <c r="H14" t="str">
        <f t="shared" si="0"/>
        <v>Low</v>
      </c>
      <c r="I14">
        <v>3.0118600000000009</v>
      </c>
      <c r="J14" t="str">
        <f t="shared" si="1"/>
        <v>High</v>
      </c>
      <c r="K14" t="str" cm="1">
        <f t="array" ref="K14">_xlfn.IFS(H14 &amp; J14="HighHigh","Intermediate Manufacture",H14 &amp; J14="HighLow","Final Manufacture",H14 &amp; J14="LowHigh","Intermediate Primary Production",H14 &amp; J14="LowLow","Final Primary Production")</f>
        <v>Intermediate Primary Production</v>
      </c>
      <c r="L14">
        <v>1.27149</v>
      </c>
      <c r="M14" t="str">
        <f t="shared" si="2"/>
        <v>Low</v>
      </c>
      <c r="N14">
        <v>2.8101600000000002</v>
      </c>
      <c r="O14" t="str">
        <f t="shared" si="3"/>
        <v>High</v>
      </c>
      <c r="P14" t="str" cm="1">
        <f t="array" ref="P14">_xlfn.IFS(M14 &amp; O14="HighHigh","Intermediate Manufacture",M14 &amp; O14="HighLow","Final Manufacture",M14 &amp; O14="LowHigh","Intermediate Primary Production",M14 &amp; O14="LowLow","Final Primary Production")</f>
        <v>Intermediate Primary Production</v>
      </c>
    </row>
    <row r="15" spans="1:16" x14ac:dyDescent="0.3">
      <c r="A15" t="s">
        <v>40</v>
      </c>
      <c r="B15">
        <v>2.0628400000000009</v>
      </c>
      <c r="C15" t="s">
        <v>79</v>
      </c>
      <c r="D15">
        <v>2.4739899999999997</v>
      </c>
      <c r="E15" t="s">
        <v>79</v>
      </c>
      <c r="F15" t="str" cm="1">
        <f t="array" ref="F15">_xlfn.IFS(C15 &amp; E15="HighHigh","Intermediate Manufacture",C15 &amp; E15="HighLow","Final Manufacture",C15 &amp; E15="LowHigh","Intermediate Primary Production",C15 &amp; E15="LowLow","Final Primary Production")</f>
        <v>Intermediate Manufacture</v>
      </c>
      <c r="G15">
        <v>2.0068199999999998</v>
      </c>
      <c r="H15" t="str">
        <f t="shared" si="0"/>
        <v>High</v>
      </c>
      <c r="I15">
        <v>2.66161</v>
      </c>
      <c r="J15" t="str">
        <f t="shared" si="1"/>
        <v>High</v>
      </c>
      <c r="K15" t="str" cm="1">
        <f t="array" ref="K15">_xlfn.IFS(H15 &amp; J15="HighHigh","Intermediate Manufacture",H15 &amp; J15="HighLow","Final Manufacture",H15 &amp; J15="LowHigh","Intermediate Primary Production",H15 &amp; J15="LowLow","Final Primary Production")</f>
        <v>Intermediate Manufacture</v>
      </c>
      <c r="L15">
        <v>1.9686999999999999</v>
      </c>
      <c r="M15" t="str">
        <f t="shared" si="2"/>
        <v>High</v>
      </c>
      <c r="N15">
        <v>2.5812000000000008</v>
      </c>
      <c r="O15" t="str">
        <f t="shared" si="3"/>
        <v>High</v>
      </c>
      <c r="P15" t="str" cm="1">
        <f t="array" ref="P15">_xlfn.IFS(M15 &amp; O15="HighHigh","Intermediate Manufacture",M15 &amp; O15="HighLow","Final Manufacture",M15 &amp; O15="LowHigh","Intermediate Primary Production",M15 &amp; O15="LowLow","Final Primary Production")</f>
        <v>Intermediate Manufacture</v>
      </c>
    </row>
    <row r="16" spans="1:16" x14ac:dyDescent="0.3">
      <c r="A16" t="s">
        <v>41</v>
      </c>
      <c r="B16">
        <v>1.9141500000000002</v>
      </c>
      <c r="C16" t="s">
        <v>79</v>
      </c>
      <c r="D16">
        <v>1.6103699999999999</v>
      </c>
      <c r="E16" t="s">
        <v>78</v>
      </c>
      <c r="F16" t="str" cm="1">
        <f t="array" ref="F16">_xlfn.IFS(C16 &amp; E16="HighHigh","Intermediate Manufacture",C16 &amp; E16="HighLow","Final Manufacture",C16 &amp; E16="LowHigh","Intermediate Primary Production",C16 &amp; E16="LowLow","Final Primary Production")</f>
        <v>Final Manufacture</v>
      </c>
      <c r="G16">
        <v>2.0752799999999998</v>
      </c>
      <c r="H16" t="str">
        <f t="shared" si="0"/>
        <v>High</v>
      </c>
      <c r="I16">
        <v>1.3167499999999994</v>
      </c>
      <c r="J16" t="str">
        <f t="shared" si="1"/>
        <v>Low</v>
      </c>
      <c r="K16" t="str" cm="1">
        <f t="array" ref="K16">_xlfn.IFS(H16 &amp; J16="HighHigh","Intermediate Manufacture",H16 &amp; J16="HighLow","Final Manufacture",H16 &amp; J16="LowHigh","Intermediate Primary Production",H16 &amp; J16="LowLow","Final Primary Production")</f>
        <v>Final Manufacture</v>
      </c>
      <c r="L16">
        <v>2.1252499999999999</v>
      </c>
      <c r="M16" t="str">
        <f t="shared" si="2"/>
        <v>High</v>
      </c>
      <c r="N16">
        <v>1.3714600000000006</v>
      </c>
      <c r="O16" t="str">
        <f t="shared" si="3"/>
        <v>Low</v>
      </c>
      <c r="P16" t="str" cm="1">
        <f t="array" ref="P16">_xlfn.IFS(M16 &amp; O16="HighHigh","Intermediate Manufacture",M16 &amp; O16="HighLow","Final Manufacture",M16 &amp; O16="LowHigh","Intermediate Primary Production",M16 &amp; O16="LowLow","Final Primary Production")</f>
        <v>Final Manufacture</v>
      </c>
    </row>
    <row r="17" spans="1:16" x14ac:dyDescent="0.3">
      <c r="A17" t="s">
        <v>42</v>
      </c>
      <c r="B17">
        <v>2.01294</v>
      </c>
      <c r="C17" t="s">
        <v>79</v>
      </c>
      <c r="D17">
        <v>1.5829900000000006</v>
      </c>
      <c r="E17" t="s">
        <v>78</v>
      </c>
      <c r="F17" t="str" cm="1">
        <f t="array" ref="F17">_xlfn.IFS(C17 &amp; E17="HighHigh","Intermediate Manufacture",C17 &amp; E17="HighLow","Final Manufacture",C17 &amp; E17="LowHigh","Intermediate Primary Production",C17 &amp; E17="LowLow","Final Primary Production")</f>
        <v>Final Manufacture</v>
      </c>
      <c r="G17">
        <v>2.2176900000000002</v>
      </c>
      <c r="H17" t="str">
        <f t="shared" si="0"/>
        <v>High</v>
      </c>
      <c r="I17">
        <v>1.5832399999999998</v>
      </c>
      <c r="J17" t="str">
        <f t="shared" si="1"/>
        <v>Low</v>
      </c>
      <c r="K17" t="str" cm="1">
        <f t="array" ref="K17">_xlfn.IFS(H17 &amp; J17="HighHigh","Intermediate Manufacture",H17 &amp; J17="HighLow","Final Manufacture",H17 &amp; J17="LowHigh","Intermediate Primary Production",H17 &amp; J17="LowLow","Final Primary Production")</f>
        <v>Final Manufacture</v>
      </c>
      <c r="L17">
        <v>2.1639300000000001</v>
      </c>
      <c r="M17" t="str">
        <f t="shared" si="2"/>
        <v>High</v>
      </c>
      <c r="N17">
        <v>1.7440300000000006</v>
      </c>
      <c r="O17" t="str">
        <f t="shared" si="3"/>
        <v>High</v>
      </c>
      <c r="P17" t="str" cm="1">
        <f t="array" ref="P17">_xlfn.IFS(M17 &amp; O17="HighHigh","Intermediate Manufacture",M17 &amp; O17="HighLow","Final Manufacture",M17 &amp; O17="LowHigh","Intermediate Primary Production",M17 &amp; O17="LowLow","Final Primary Production")</f>
        <v>Intermediate Manufacture</v>
      </c>
    </row>
    <row r="18" spans="1:16" x14ac:dyDescent="0.3">
      <c r="A18" t="s">
        <v>43</v>
      </c>
      <c r="B18">
        <v>1.8455900000000007</v>
      </c>
      <c r="C18" t="s">
        <v>79</v>
      </c>
      <c r="D18">
        <v>1.4045499999999997</v>
      </c>
      <c r="E18" t="s">
        <v>78</v>
      </c>
      <c r="F18" t="str" cm="1">
        <f t="array" ref="F18">_xlfn.IFS(C18 &amp; E18="HighHigh","Intermediate Manufacture",C18 &amp; E18="HighLow","Final Manufacture",C18 &amp; E18="LowHigh","Intermediate Primary Production",C18 &amp; E18="LowLow","Final Primary Production")</f>
        <v>Final Manufacture</v>
      </c>
      <c r="G18">
        <v>1.8728800000000001</v>
      </c>
      <c r="H18" t="str">
        <f t="shared" si="0"/>
        <v>High</v>
      </c>
      <c r="I18">
        <v>1.6967800000000004</v>
      </c>
      <c r="J18" t="str">
        <f t="shared" si="1"/>
        <v>Low</v>
      </c>
      <c r="K18" t="str" cm="1">
        <f t="array" ref="K18">_xlfn.IFS(H18 &amp; J18="HighHigh","Intermediate Manufacture",H18 &amp; J18="HighLow","Final Manufacture",H18 &amp; J18="LowHigh","Intermediate Primary Production",H18 &amp; J18="LowLow","Final Primary Production")</f>
        <v>Final Manufacture</v>
      </c>
      <c r="L18">
        <v>1.8503099999999999</v>
      </c>
      <c r="M18" t="str">
        <f t="shared" si="2"/>
        <v>High</v>
      </c>
      <c r="N18">
        <v>1.6572299999999998</v>
      </c>
      <c r="O18" t="str">
        <f t="shared" si="3"/>
        <v>Low</v>
      </c>
      <c r="P18" t="str" cm="1">
        <f t="array" ref="P18">_xlfn.IFS(M18 &amp; O18="HighHigh","Intermediate Manufacture",M18 &amp; O18="HighLow","Final Manufacture",M18 &amp; O18="LowHigh","Intermediate Primary Production",M18 &amp; O18="LowLow","Final Primary Production")</f>
        <v>Final Manufacture</v>
      </c>
    </row>
    <row r="19" spans="1:16" x14ac:dyDescent="0.3">
      <c r="A19" t="s">
        <v>44</v>
      </c>
      <c r="B19">
        <v>1.9941600000000002</v>
      </c>
      <c r="C19" t="s">
        <v>79</v>
      </c>
      <c r="D19">
        <v>3.2862700000000005</v>
      </c>
      <c r="E19" t="s">
        <v>79</v>
      </c>
      <c r="F19" t="str" cm="1">
        <f t="array" ref="F19">_xlfn.IFS(C19 &amp; E19="HighHigh","Intermediate Manufacture",C19 &amp; E19="HighLow","Final Manufacture",C19 &amp; E19="LowHigh","Intermediate Primary Production",C19 &amp; E19="LowLow","Final Primary Production")</f>
        <v>Intermediate Manufacture</v>
      </c>
      <c r="G19">
        <v>2.1673399999999998</v>
      </c>
      <c r="H19" t="str">
        <f t="shared" si="0"/>
        <v>High</v>
      </c>
      <c r="I19">
        <v>3.9828399999999995</v>
      </c>
      <c r="J19" t="str">
        <f t="shared" si="1"/>
        <v>High</v>
      </c>
      <c r="K19" t="str" cm="1">
        <f t="array" ref="K19">_xlfn.IFS(H19 &amp; J19="HighHigh","Intermediate Manufacture",H19 &amp; J19="HighLow","Final Manufacture",H19 &amp; J19="LowHigh","Intermediate Primary Production",H19 &amp; J19="LowLow","Final Primary Production")</f>
        <v>Intermediate Manufacture</v>
      </c>
      <c r="L19">
        <v>2.2127699999999999</v>
      </c>
      <c r="M19" t="str">
        <f t="shared" si="2"/>
        <v>High</v>
      </c>
      <c r="N19">
        <v>4.6667599999999991</v>
      </c>
      <c r="O19" t="str">
        <f t="shared" si="3"/>
        <v>High</v>
      </c>
      <c r="P19" t="str" cm="1">
        <f t="array" ref="P19">_xlfn.IFS(M19 &amp; O19="HighHigh","Intermediate Manufacture",M19 &amp; O19="HighLow","Final Manufacture",M19 &amp; O19="LowHigh","Intermediate Primary Production",M19 &amp; O19="LowLow","Final Primary Production")</f>
        <v>Intermediate Manufacture</v>
      </c>
    </row>
    <row r="20" spans="1:16" x14ac:dyDescent="0.3">
      <c r="A20" t="s">
        <v>45</v>
      </c>
      <c r="B20">
        <v>1.5694600000000003</v>
      </c>
      <c r="C20" t="s">
        <v>78</v>
      </c>
      <c r="D20">
        <v>2.0396200000000007</v>
      </c>
      <c r="E20" t="s">
        <v>79</v>
      </c>
      <c r="F20" t="str" cm="1">
        <f t="array" ref="F20">_xlfn.IFS(C20 &amp; E20="HighHigh","Intermediate Manufacture",C20 &amp; E20="HighLow","Final Manufacture",C20 &amp; E20="LowHigh","Intermediate Primary Production",C20 &amp; E20="LowLow","Final Primary Production")</f>
        <v>Intermediate Primary Production</v>
      </c>
      <c r="G20">
        <v>1.8063199999999999</v>
      </c>
      <c r="H20" t="str">
        <f t="shared" si="0"/>
        <v>High</v>
      </c>
      <c r="I20">
        <v>1.7352799999999999</v>
      </c>
      <c r="J20" t="str">
        <f t="shared" si="1"/>
        <v>High</v>
      </c>
      <c r="K20" t="str" cm="1">
        <f t="array" ref="K20">_xlfn.IFS(H20 &amp; J20="HighHigh","Intermediate Manufacture",H20 &amp; J20="HighLow","Final Manufacture",H20 &amp; J20="LowHigh","Intermediate Primary Production",H20 &amp; J20="LowLow","Final Primary Production")</f>
        <v>Intermediate Manufacture</v>
      </c>
      <c r="L20">
        <v>1.9331400000000001</v>
      </c>
      <c r="M20" t="str">
        <f t="shared" si="2"/>
        <v>High</v>
      </c>
      <c r="N20">
        <v>2.0452799999999995</v>
      </c>
      <c r="O20" t="str">
        <f t="shared" si="3"/>
        <v>High</v>
      </c>
      <c r="P20" t="str" cm="1">
        <f t="array" ref="P20">_xlfn.IFS(M20 &amp; O20="HighHigh","Intermediate Manufacture",M20 &amp; O20="HighLow","Final Manufacture",M20 &amp; O20="LowHigh","Intermediate Primary Production",M20 &amp; O20="LowLow","Final Primary Production")</f>
        <v>Intermediate Manufacture</v>
      </c>
    </row>
    <row r="21" spans="1:16" x14ac:dyDescent="0.3">
      <c r="A21" t="s">
        <v>46</v>
      </c>
      <c r="B21">
        <v>2.0559699999999994</v>
      </c>
      <c r="C21" t="s">
        <v>79</v>
      </c>
      <c r="D21">
        <v>1.5833200000000001</v>
      </c>
      <c r="E21" t="s">
        <v>78</v>
      </c>
      <c r="F21" t="str" cm="1">
        <f t="array" ref="F21">_xlfn.IFS(C21 &amp; E21="HighHigh","Intermediate Manufacture",C21 &amp; E21="HighLow","Final Manufacture",C21 &amp; E21="LowHigh","Intermediate Primary Production",C21 &amp; E21="LowLow","Final Primary Production")</f>
        <v>Final Manufacture</v>
      </c>
      <c r="G21">
        <v>2.1117699999999999</v>
      </c>
      <c r="H21" t="str">
        <f t="shared" si="0"/>
        <v>High</v>
      </c>
      <c r="I21">
        <v>1.9247999999999998</v>
      </c>
      <c r="J21" t="str">
        <f t="shared" si="1"/>
        <v>High</v>
      </c>
      <c r="K21" t="str" cm="1">
        <f t="array" ref="K21">_xlfn.IFS(H21 &amp; J21="HighHigh","Intermediate Manufacture",H21 &amp; J21="HighLow","Final Manufacture",H21 &amp; J21="LowHigh","Intermediate Primary Production",H21 &amp; J21="LowLow","Final Primary Production")</f>
        <v>Intermediate Manufacture</v>
      </c>
      <c r="L21">
        <v>2.21977</v>
      </c>
      <c r="M21" t="str">
        <f t="shared" si="2"/>
        <v>High</v>
      </c>
      <c r="N21">
        <v>1.6177500000000005</v>
      </c>
      <c r="O21" t="str">
        <f t="shared" si="3"/>
        <v>Low</v>
      </c>
      <c r="P21" t="str" cm="1">
        <f t="array" ref="P21">_xlfn.IFS(M21 &amp; O21="HighHigh","Intermediate Manufacture",M21 &amp; O21="HighLow","Final Manufacture",M21 &amp; O21="LowHigh","Intermediate Primary Production",M21 &amp; O21="LowLow","Final Primary Production")</f>
        <v>Final Manufacture</v>
      </c>
    </row>
    <row r="22" spans="1:16" x14ac:dyDescent="0.3">
      <c r="A22" t="s">
        <v>47</v>
      </c>
      <c r="B22">
        <v>2.0426099999999994</v>
      </c>
      <c r="C22" t="s">
        <v>79</v>
      </c>
      <c r="D22">
        <v>1.356580000000001</v>
      </c>
      <c r="E22" t="s">
        <v>78</v>
      </c>
      <c r="F22" t="str" cm="1">
        <f t="array" ref="F22">_xlfn.IFS(C22 &amp; E22="HighHigh","Intermediate Manufacture",C22 &amp; E22="HighLow","Final Manufacture",C22 &amp; E22="LowHigh","Intermediate Primary Production",C22 &amp; E22="LowLow","Final Primary Production")</f>
        <v>Final Manufacture</v>
      </c>
      <c r="G22">
        <v>1.9578100000000001</v>
      </c>
      <c r="H22" t="str">
        <f t="shared" si="0"/>
        <v>High</v>
      </c>
      <c r="I22">
        <v>1.1815100000000007</v>
      </c>
      <c r="J22" t="str">
        <f t="shared" si="1"/>
        <v>Low</v>
      </c>
      <c r="K22" t="str" cm="1">
        <f t="array" ref="K22">_xlfn.IFS(H22 &amp; J22="HighHigh","Intermediate Manufacture",H22 &amp; J22="HighLow","Final Manufacture",H22 &amp; J22="LowHigh","Intermediate Primary Production",H22 &amp; J22="LowLow","Final Primary Production")</f>
        <v>Final Manufacture</v>
      </c>
      <c r="L22">
        <v>1.901</v>
      </c>
      <c r="M22" t="str">
        <f t="shared" si="2"/>
        <v>High</v>
      </c>
      <c r="N22">
        <v>1.1245000000000005</v>
      </c>
      <c r="O22" t="str">
        <f t="shared" si="3"/>
        <v>Low</v>
      </c>
      <c r="P22" t="str" cm="1">
        <f t="array" ref="P22">_xlfn.IFS(M22 &amp; O22="HighHigh","Intermediate Manufacture",M22 &amp; O22="HighLow","Final Manufacture",M22 &amp; O22="LowHigh","Intermediate Primary Production",M22 &amp; O22="LowLow","Final Primary Production")</f>
        <v>Final Manufacture</v>
      </c>
    </row>
    <row r="23" spans="1:16" x14ac:dyDescent="0.3">
      <c r="A23" t="s">
        <v>48</v>
      </c>
      <c r="B23">
        <v>2.1331200000000003</v>
      </c>
      <c r="C23" t="s">
        <v>79</v>
      </c>
      <c r="D23">
        <v>1.3706699999999996</v>
      </c>
      <c r="E23" t="s">
        <v>78</v>
      </c>
      <c r="F23" t="str" cm="1">
        <f t="array" ref="F23">_xlfn.IFS(C23 &amp; E23="HighHigh","Intermediate Manufacture",C23 &amp; E23="HighLow","Final Manufacture",C23 &amp; E23="LowHigh","Intermediate Primary Production",C23 &amp; E23="LowLow","Final Primary Production")</f>
        <v>Final Manufacture</v>
      </c>
      <c r="G23">
        <v>2.0328400000000002</v>
      </c>
      <c r="H23" t="str">
        <f t="shared" si="0"/>
        <v>High</v>
      </c>
      <c r="I23">
        <v>1.3643399999999997</v>
      </c>
      <c r="J23" t="str">
        <f t="shared" si="1"/>
        <v>Low</v>
      </c>
      <c r="K23" t="str" cm="1">
        <f t="array" ref="K23">_xlfn.IFS(H23 &amp; J23="HighHigh","Intermediate Manufacture",H23 &amp; J23="HighLow","Final Manufacture",H23 &amp; J23="LowHigh","Intermediate Primary Production",H23 &amp; J23="LowLow","Final Primary Production")</f>
        <v>Final Manufacture</v>
      </c>
      <c r="L23">
        <v>2.18554</v>
      </c>
      <c r="M23" t="str">
        <f t="shared" si="2"/>
        <v>High</v>
      </c>
      <c r="N23">
        <v>1.3320900000000002</v>
      </c>
      <c r="O23" t="str">
        <f t="shared" si="3"/>
        <v>Low</v>
      </c>
      <c r="P23" t="str" cm="1">
        <f t="array" ref="P23">_xlfn.IFS(M23 &amp; O23="HighHigh","Intermediate Manufacture",M23 &amp; O23="HighLow","Final Manufacture",M23 &amp; O23="LowHigh","Intermediate Primary Production",M23 &amp; O23="LowLow","Final Primary Production")</f>
        <v>Final Manufacture</v>
      </c>
    </row>
    <row r="24" spans="1:16" x14ac:dyDescent="0.3">
      <c r="A24" t="s">
        <v>49</v>
      </c>
      <c r="B24">
        <v>2.0320400000000003</v>
      </c>
      <c r="C24" t="s">
        <v>79</v>
      </c>
      <c r="D24">
        <v>1.4218</v>
      </c>
      <c r="E24" t="s">
        <v>78</v>
      </c>
      <c r="F24" t="str" cm="1">
        <f t="array" ref="F24">_xlfn.IFS(C24 &amp; E24="HighHigh","Intermediate Manufacture",C24 &amp; E24="HighLow","Final Manufacture",C24 &amp; E24="LowHigh","Intermediate Primary Production",C24 &amp; E24="LowLow","Final Primary Production")</f>
        <v>Final Manufacture</v>
      </c>
      <c r="G24">
        <v>1.98871</v>
      </c>
      <c r="H24" t="str">
        <f t="shared" si="0"/>
        <v>High</v>
      </c>
      <c r="I24">
        <v>1.42265</v>
      </c>
      <c r="J24" t="str">
        <f t="shared" si="1"/>
        <v>Low</v>
      </c>
      <c r="K24" t="str" cm="1">
        <f t="array" ref="K24">_xlfn.IFS(H24 &amp; J24="HighHigh","Intermediate Manufacture",H24 &amp; J24="HighLow","Final Manufacture",H24 &amp; J24="LowHigh","Intermediate Primary Production",H24 &amp; J24="LowLow","Final Primary Production")</f>
        <v>Final Manufacture</v>
      </c>
      <c r="L24">
        <v>2.1355300000000002</v>
      </c>
      <c r="M24" t="str">
        <f t="shared" si="2"/>
        <v>High</v>
      </c>
      <c r="N24">
        <v>1.3608200000000001</v>
      </c>
      <c r="O24" t="str">
        <f t="shared" si="3"/>
        <v>Low</v>
      </c>
      <c r="P24" t="str" cm="1">
        <f t="array" ref="P24">_xlfn.IFS(M24 &amp; O24="HighHigh","Intermediate Manufacture",M24 &amp; O24="HighLow","Final Manufacture",M24 &amp; O24="LowHigh","Intermediate Primary Production",M24 &amp; O24="LowLow","Final Primary Production")</f>
        <v>Final Manufacture</v>
      </c>
    </row>
    <row r="25" spans="1:16" x14ac:dyDescent="0.3">
      <c r="A25" t="s">
        <v>50</v>
      </c>
      <c r="B25">
        <v>2.2528599999999996</v>
      </c>
      <c r="C25" t="s">
        <v>79</v>
      </c>
      <c r="D25">
        <v>1.2302799999999998</v>
      </c>
      <c r="E25" t="s">
        <v>78</v>
      </c>
      <c r="F25" t="str" cm="1">
        <f t="array" ref="F25">_xlfn.IFS(C25 &amp; E25="HighHigh","Intermediate Manufacture",C25 &amp; E25="HighLow","Final Manufacture",C25 &amp; E25="LowHigh","Intermediate Primary Production",C25 &amp; E25="LowLow","Final Primary Production")</f>
        <v>Final Manufacture</v>
      </c>
      <c r="G25">
        <v>2.2404500000000001</v>
      </c>
      <c r="H25" t="str">
        <f t="shared" si="0"/>
        <v>High</v>
      </c>
      <c r="I25">
        <v>1.4825099999999998</v>
      </c>
      <c r="J25" t="str">
        <f t="shared" si="1"/>
        <v>Low</v>
      </c>
      <c r="K25" t="str" cm="1">
        <f t="array" ref="K25">_xlfn.IFS(H25 &amp; J25="HighHigh","Intermediate Manufacture",H25 &amp; J25="HighLow","Final Manufacture",H25 &amp; J25="LowHigh","Intermediate Primary Production",H25 &amp; J25="LowLow","Final Primary Production")</f>
        <v>Final Manufacture</v>
      </c>
      <c r="L25">
        <v>2.4226800000000002</v>
      </c>
      <c r="M25" t="str">
        <f t="shared" si="2"/>
        <v>High</v>
      </c>
      <c r="N25">
        <v>1.7670699999999999</v>
      </c>
      <c r="O25" t="str">
        <f t="shared" si="3"/>
        <v>High</v>
      </c>
      <c r="P25" t="str" cm="1">
        <f t="array" ref="P25">_xlfn.IFS(M25 &amp; O25="HighHigh","Intermediate Manufacture",M25 &amp; O25="HighLow","Final Manufacture",M25 &amp; O25="LowHigh","Intermediate Primary Production",M25 &amp; O25="LowLow","Final Primary Production")</f>
        <v>Intermediate Manufacture</v>
      </c>
    </row>
    <row r="26" spans="1:16" x14ac:dyDescent="0.3">
      <c r="A26" t="s">
        <v>51</v>
      </c>
      <c r="B26">
        <v>1.4783200000000001</v>
      </c>
      <c r="C26" t="s">
        <v>78</v>
      </c>
      <c r="D26">
        <v>1.0673500000000005</v>
      </c>
      <c r="E26" t="s">
        <v>78</v>
      </c>
      <c r="F26" t="str" cm="1">
        <f t="array" ref="F26">_xlfn.IFS(C26 &amp; E26="HighHigh","Intermediate Manufacture",C26 &amp; E26="HighLow","Final Manufacture",C26 &amp; E26="LowHigh","Intermediate Primary Production",C26 &amp; E26="LowLow","Final Primary Production")</f>
        <v>Final Primary Production</v>
      </c>
      <c r="G26">
        <v>1.84406</v>
      </c>
      <c r="H26" t="str">
        <f t="shared" si="0"/>
        <v>High</v>
      </c>
      <c r="I26">
        <v>1.0026100000000002</v>
      </c>
      <c r="J26" t="str">
        <f t="shared" si="1"/>
        <v>Low</v>
      </c>
      <c r="K26" t="str" cm="1">
        <f t="array" ref="K26">_xlfn.IFS(H26 &amp; J26="HighHigh","Intermediate Manufacture",H26 &amp; J26="HighLow","Final Manufacture",H26 &amp; J26="LowHigh","Intermediate Primary Production",H26 &amp; J26="LowLow","Final Primary Production")</f>
        <v>Final Manufacture</v>
      </c>
      <c r="L26">
        <v>1.5388900000000001</v>
      </c>
      <c r="M26" t="str">
        <f t="shared" si="2"/>
        <v>Low</v>
      </c>
      <c r="N26">
        <v>1.0162200000000006</v>
      </c>
      <c r="O26" t="str">
        <f t="shared" si="3"/>
        <v>Low</v>
      </c>
      <c r="P26" t="str" cm="1">
        <f t="array" ref="P26">_xlfn.IFS(M26 &amp; O26="HighHigh","Intermediate Manufacture",M26 &amp; O26="HighLow","Final Manufacture",M26 &amp; O26="LowHigh","Intermediate Primary Production",M26 &amp; O26="LowLow","Final Primary Production")</f>
        <v>Final Primary Production</v>
      </c>
    </row>
    <row r="27" spans="1:16" x14ac:dyDescent="0.3">
      <c r="A27" t="s">
        <v>52</v>
      </c>
      <c r="B27">
        <v>2.1890000000000009</v>
      </c>
      <c r="C27" t="s">
        <v>79</v>
      </c>
      <c r="D27">
        <v>1.1757000000000002</v>
      </c>
      <c r="E27" t="s">
        <v>78</v>
      </c>
      <c r="F27" t="str" cm="1">
        <f t="array" ref="F27">_xlfn.IFS(C27 &amp; E27="HighHigh","Intermediate Manufacture",C27 &amp; E27="HighLow","Final Manufacture",C27 &amp; E27="LowHigh","Intermediate Primary Production",C27 &amp; E27="LowLow","Final Primary Production")</f>
        <v>Final Manufacture</v>
      </c>
      <c r="G27">
        <v>2.1374200000000001</v>
      </c>
      <c r="H27" t="str">
        <f t="shared" si="0"/>
        <v>High</v>
      </c>
      <c r="I27">
        <v>1.2556</v>
      </c>
      <c r="J27" t="str">
        <f t="shared" si="1"/>
        <v>Low</v>
      </c>
      <c r="K27" t="str" cm="1">
        <f t="array" ref="K27">_xlfn.IFS(H27 &amp; J27="HighHigh","Intermediate Manufacture",H27 &amp; J27="HighLow","Final Manufacture",H27 &amp; J27="LowHigh","Intermediate Primary Production",H27 &amp; J27="LowLow","Final Primary Production")</f>
        <v>Final Manufacture</v>
      </c>
      <c r="L27">
        <v>2.1957</v>
      </c>
      <c r="M27" t="str">
        <f t="shared" si="2"/>
        <v>High</v>
      </c>
      <c r="N27">
        <v>1.288079999999999</v>
      </c>
      <c r="O27" t="str">
        <f t="shared" si="3"/>
        <v>Low</v>
      </c>
      <c r="P27" t="str" cm="1">
        <f t="array" ref="P27">_xlfn.IFS(M27 &amp; O27="HighHigh","Intermediate Manufacture",M27 &amp; O27="HighLow","Final Manufacture",M27 &amp; O27="LowHigh","Intermediate Primary Production",M27 &amp; O27="LowLow","Final Primary Production")</f>
        <v>Final Manufacture</v>
      </c>
    </row>
    <row r="28" spans="1:16" x14ac:dyDescent="0.3">
      <c r="A28" t="s">
        <v>53</v>
      </c>
      <c r="B28">
        <v>2.0566500000000003</v>
      </c>
      <c r="C28" t="s">
        <v>79</v>
      </c>
      <c r="D28">
        <v>1.2167599999999996</v>
      </c>
      <c r="E28" t="s">
        <v>78</v>
      </c>
      <c r="F28" t="str" cm="1">
        <f t="array" ref="F28">_xlfn.IFS(C28 &amp; E28="HighHigh","Intermediate Manufacture",C28 &amp; E28="HighLow","Final Manufacture",C28 &amp; E28="LowHigh","Intermediate Primary Production",C28 &amp; E28="LowLow","Final Primary Production")</f>
        <v>Final Manufacture</v>
      </c>
      <c r="G28">
        <v>1.9606600000000001</v>
      </c>
      <c r="H28" t="str">
        <f t="shared" si="0"/>
        <v>High</v>
      </c>
      <c r="I28">
        <v>1.3581899999999996</v>
      </c>
      <c r="J28" t="str">
        <f t="shared" si="1"/>
        <v>Low</v>
      </c>
      <c r="K28" t="str" cm="1">
        <f t="array" ref="K28">_xlfn.IFS(H28 &amp; J28="HighHigh","Intermediate Manufacture",H28 &amp; J28="HighLow","Final Manufacture",H28 &amp; J28="LowHigh","Intermediate Primary Production",H28 &amp; J28="LowLow","Final Primary Production")</f>
        <v>Final Manufacture</v>
      </c>
      <c r="L28">
        <v>2.0767600000000002</v>
      </c>
      <c r="M28" t="str">
        <f t="shared" si="2"/>
        <v>High</v>
      </c>
      <c r="N28">
        <v>1.3328099999999996</v>
      </c>
      <c r="O28" t="str">
        <f t="shared" si="3"/>
        <v>Low</v>
      </c>
      <c r="P28" t="str" cm="1">
        <f t="array" ref="P28">_xlfn.IFS(M28 &amp; O28="HighHigh","Intermediate Manufacture",M28 &amp; O28="HighLow","Final Manufacture",M28 &amp; O28="LowHigh","Intermediate Primary Production",M28 &amp; O28="LowLow","Final Primary Production")</f>
        <v>Final Manufacture</v>
      </c>
    </row>
    <row r="29" spans="1:16" x14ac:dyDescent="0.3">
      <c r="A29" t="s">
        <v>54</v>
      </c>
      <c r="B29">
        <v>1.9615100000000001</v>
      </c>
      <c r="C29" t="s">
        <v>79</v>
      </c>
      <c r="D29">
        <v>3.3327400000000003</v>
      </c>
      <c r="E29" t="s">
        <v>79</v>
      </c>
      <c r="F29" t="str" cm="1">
        <f t="array" ref="F29">_xlfn.IFS(C29 &amp; E29="HighHigh","Intermediate Manufacture",C29 &amp; E29="HighLow","Final Manufacture",C29 &amp; E29="LowHigh","Intermediate Primary Production",C29 &amp; E29="LowLow","Final Primary Production")</f>
        <v>Intermediate Manufacture</v>
      </c>
      <c r="G29">
        <v>1.6933499999999999</v>
      </c>
      <c r="H29" t="str">
        <f t="shared" si="0"/>
        <v>Low</v>
      </c>
      <c r="I29">
        <v>2.4615699999999987</v>
      </c>
      <c r="J29" t="str">
        <f t="shared" si="1"/>
        <v>High</v>
      </c>
      <c r="K29" t="str" cm="1">
        <f t="array" ref="K29">_xlfn.IFS(H29 &amp; J29="HighHigh","Intermediate Manufacture",H29 &amp; J29="HighLow","Final Manufacture",H29 &amp; J29="LowHigh","Intermediate Primary Production",H29 &amp; J29="LowLow","Final Primary Production")</f>
        <v>Intermediate Primary Production</v>
      </c>
      <c r="L29">
        <v>1.4351799999999999</v>
      </c>
      <c r="M29" t="str">
        <f t="shared" si="2"/>
        <v>Low</v>
      </c>
      <c r="N29">
        <v>2.4813400000000003</v>
      </c>
      <c r="O29" t="str">
        <f t="shared" si="3"/>
        <v>High</v>
      </c>
      <c r="P29" t="str" cm="1">
        <f t="array" ref="P29">_xlfn.IFS(M29 &amp; O29="HighHigh","Intermediate Manufacture",M29 &amp; O29="HighLow","Final Manufacture",M29 &amp; O29="LowHigh","Intermediate Primary Production",M29 &amp; O29="LowLow","Final Primary Production")</f>
        <v>Intermediate Primary Production</v>
      </c>
    </row>
    <row r="30" spans="1:16" x14ac:dyDescent="0.3">
      <c r="A30" t="s">
        <v>55</v>
      </c>
      <c r="B30">
        <v>1.9841699999999995</v>
      </c>
      <c r="C30" t="s">
        <v>79</v>
      </c>
      <c r="D30">
        <v>1.2304000000000004</v>
      </c>
      <c r="E30" t="s">
        <v>78</v>
      </c>
      <c r="F30" t="str" cm="1">
        <f t="array" ref="F30">_xlfn.IFS(C30 &amp; E30="HighHigh","Intermediate Manufacture",C30 &amp; E30="HighLow","Final Manufacture",C30 &amp; E30="LowHigh","Intermediate Primary Production",C30 &amp; E30="LowLow","Final Primary Production")</f>
        <v>Final Manufacture</v>
      </c>
      <c r="G30">
        <v>1.8937200000000001</v>
      </c>
      <c r="H30" t="str">
        <f t="shared" si="0"/>
        <v>High</v>
      </c>
      <c r="I30">
        <v>1.2669700000000002</v>
      </c>
      <c r="J30" t="str">
        <f t="shared" si="1"/>
        <v>Low</v>
      </c>
      <c r="K30" t="str" cm="1">
        <f t="array" ref="K30">_xlfn.IFS(H30 &amp; J30="HighHigh","Intermediate Manufacture",H30 &amp; J30="HighLow","Final Manufacture",H30 &amp; J30="LowHigh","Intermediate Primary Production",H30 &amp; J30="LowLow","Final Primary Production")</f>
        <v>Final Manufacture</v>
      </c>
      <c r="L30">
        <v>1.9411499999999999</v>
      </c>
      <c r="M30" t="str">
        <f t="shared" si="2"/>
        <v>High</v>
      </c>
      <c r="N30">
        <v>1.4138799999999998</v>
      </c>
      <c r="O30" t="str">
        <f t="shared" si="3"/>
        <v>Low</v>
      </c>
      <c r="P30" t="str" cm="1">
        <f t="array" ref="P30">_xlfn.IFS(M30 &amp; O30="HighHigh","Intermediate Manufacture",M30 &amp; O30="HighLow","Final Manufacture",M30 &amp; O30="LowHigh","Intermediate Primary Production",M30 &amp; O30="LowLow","Final Primary Production")</f>
        <v>Final Manufacture</v>
      </c>
    </row>
    <row r="31" spans="1:16" x14ac:dyDescent="0.3">
      <c r="A31" t="s">
        <v>56</v>
      </c>
      <c r="B31">
        <v>2.1073799999999996</v>
      </c>
      <c r="C31" t="s">
        <v>79</v>
      </c>
      <c r="D31">
        <v>1.7604999999999997</v>
      </c>
      <c r="E31" t="s">
        <v>78</v>
      </c>
      <c r="F31" t="str" cm="1">
        <f t="array" ref="F31">_xlfn.IFS(C31 &amp; E31="HighHigh","Intermediate Manufacture",C31 &amp; E31="HighLow","Final Manufacture",C31 &amp; E31="LowHigh","Intermediate Primary Production",C31 &amp; E31="LowLow","Final Primary Production")</f>
        <v>Final Manufacture</v>
      </c>
      <c r="G31">
        <v>2.0105300000000002</v>
      </c>
      <c r="H31" t="str">
        <f t="shared" si="0"/>
        <v>High</v>
      </c>
      <c r="I31">
        <v>2.93771</v>
      </c>
      <c r="J31" t="str">
        <f t="shared" si="1"/>
        <v>High</v>
      </c>
      <c r="K31" t="str" cm="1">
        <f t="array" ref="K31">_xlfn.IFS(H31 &amp; J31="HighHigh","Intermediate Manufacture",H31 &amp; J31="HighLow","Final Manufacture",H31 &amp; J31="LowHigh","Intermediate Primary Production",H31 &amp; J31="LowLow","Final Primary Production")</f>
        <v>Intermediate Manufacture</v>
      </c>
      <c r="L31">
        <v>1.97688</v>
      </c>
      <c r="M31" t="str">
        <f t="shared" si="2"/>
        <v>High</v>
      </c>
      <c r="N31">
        <v>1.96793</v>
      </c>
      <c r="O31" t="str">
        <f t="shared" si="3"/>
        <v>High</v>
      </c>
      <c r="P31" t="str" cm="1">
        <f t="array" ref="P31">_xlfn.IFS(M31 &amp; O31="HighHigh","Intermediate Manufacture",M31 &amp; O31="HighLow","Final Manufacture",M31 &amp; O31="LowHigh","Intermediate Primary Production",M31 &amp; O31="LowLow","Final Primary Production")</f>
        <v>Intermediate Manufacture</v>
      </c>
    </row>
    <row r="32" spans="1:16" x14ac:dyDescent="0.3">
      <c r="A32" t="s">
        <v>57</v>
      </c>
      <c r="B32">
        <v>1.5172899999999998</v>
      </c>
      <c r="C32" t="s">
        <v>78</v>
      </c>
      <c r="D32">
        <v>3.9549699999999994</v>
      </c>
      <c r="E32" t="s">
        <v>79</v>
      </c>
      <c r="F32" t="str" cm="1">
        <f t="array" ref="F32">_xlfn.IFS(C32 &amp; E32="HighHigh","Intermediate Manufacture",C32 &amp; E32="HighLow","Final Manufacture",C32 &amp; E32="LowHigh","Intermediate Primary Production",C32 &amp; E32="LowLow","Final Primary Production")</f>
        <v>Intermediate Primary Production</v>
      </c>
      <c r="G32">
        <v>1.22827</v>
      </c>
      <c r="H32" t="str">
        <f t="shared" si="0"/>
        <v>Low</v>
      </c>
      <c r="I32">
        <v>3.6301100000000011</v>
      </c>
      <c r="J32" t="str">
        <f t="shared" si="1"/>
        <v>High</v>
      </c>
      <c r="K32" t="str" cm="1">
        <f t="array" ref="K32">_xlfn.IFS(H32 &amp; J32="HighHigh","Intermediate Manufacture",H32 &amp; J32="HighLow","Final Manufacture",H32 &amp; J32="LowHigh","Intermediate Primary Production",H32 &amp; J32="LowLow","Final Primary Production")</f>
        <v>Intermediate Primary Production</v>
      </c>
      <c r="L32">
        <v>1.26214</v>
      </c>
      <c r="M32" t="str">
        <f t="shared" si="2"/>
        <v>Low</v>
      </c>
      <c r="N32">
        <v>3.6288700000000005</v>
      </c>
      <c r="O32" t="str">
        <f t="shared" si="3"/>
        <v>High</v>
      </c>
      <c r="P32" t="str" cm="1">
        <f t="array" ref="P32">_xlfn.IFS(M32 &amp; O32="HighHigh","Intermediate Manufacture",M32 &amp; O32="HighLow","Final Manufacture",M32 &amp; O32="LowHigh","Intermediate Primary Production",M32 &amp; O32="LowLow","Final Primary Production")</f>
        <v>Intermediate Primary Production</v>
      </c>
    </row>
    <row r="33" spans="1:16" x14ac:dyDescent="0.3">
      <c r="A33" t="s">
        <v>58</v>
      </c>
      <c r="B33">
        <v>1.8587800000000005</v>
      </c>
      <c r="C33" t="s">
        <v>79</v>
      </c>
      <c r="D33">
        <v>3.1646100000000001</v>
      </c>
      <c r="E33" t="s">
        <v>79</v>
      </c>
      <c r="F33" t="str" cm="1">
        <f t="array" ref="F33">_xlfn.IFS(C33 &amp; E33="HighHigh","Intermediate Manufacture",C33 &amp; E33="HighLow","Final Manufacture",C33 &amp; E33="LowHigh","Intermediate Primary Production",C33 &amp; E33="LowLow","Final Primary Production")</f>
        <v>Intermediate Manufacture</v>
      </c>
      <c r="G33">
        <v>1.7335</v>
      </c>
      <c r="H33" t="str">
        <f t="shared" si="0"/>
        <v>High</v>
      </c>
      <c r="I33">
        <v>3.2565199999999996</v>
      </c>
      <c r="J33" t="str">
        <f t="shared" si="1"/>
        <v>High</v>
      </c>
      <c r="K33" t="str" cm="1">
        <f t="array" ref="K33">_xlfn.IFS(H33 &amp; J33="HighHigh","Intermediate Manufacture",H33 &amp; J33="HighLow","Final Manufacture",H33 &amp; J33="LowHigh","Intermediate Primary Production",H33 &amp; J33="LowLow","Final Primary Production")</f>
        <v>Intermediate Manufacture</v>
      </c>
      <c r="L33">
        <v>1.5480100000000001</v>
      </c>
      <c r="M33" t="str">
        <f t="shared" si="2"/>
        <v>Low</v>
      </c>
      <c r="N33">
        <v>2.9727100000000006</v>
      </c>
      <c r="O33" t="str">
        <f t="shared" si="3"/>
        <v>High</v>
      </c>
      <c r="P33" t="str" cm="1">
        <f t="array" ref="P33">_xlfn.IFS(M33 &amp; O33="HighHigh","Intermediate Manufacture",M33 &amp; O33="HighLow","Final Manufacture",M33 &amp; O33="LowHigh","Intermediate Primary Production",M33 &amp; O33="LowLow","Final Primary Production")</f>
        <v>Intermediate Primary Production</v>
      </c>
    </row>
    <row r="34" spans="1:16" x14ac:dyDescent="0.3">
      <c r="A34" t="s">
        <v>59</v>
      </c>
      <c r="B34">
        <v>1.6365099999999999</v>
      </c>
      <c r="C34" t="s">
        <v>78</v>
      </c>
      <c r="D34">
        <v>1.0579999999999994</v>
      </c>
      <c r="E34" t="s">
        <v>78</v>
      </c>
      <c r="F34" t="str" cm="1">
        <f t="array" ref="F34">_xlfn.IFS(C34 &amp; E34="HighHigh","Intermediate Manufacture",C34 &amp; E34="HighLow","Final Manufacture",C34 &amp; E34="LowHigh","Intermediate Primary Production",C34 &amp; E34="LowLow","Final Primary Production")</f>
        <v>Final Primary Production</v>
      </c>
      <c r="G34">
        <v>1.31839</v>
      </c>
      <c r="H34" t="str">
        <f t="shared" si="0"/>
        <v>Low</v>
      </c>
      <c r="I34">
        <v>1.04874</v>
      </c>
      <c r="J34" t="str">
        <f t="shared" si="1"/>
        <v>Low</v>
      </c>
      <c r="K34" t="str" cm="1">
        <f t="array" ref="K34">_xlfn.IFS(H34 &amp; J34="HighHigh","Intermediate Manufacture",H34 &amp; J34="HighLow","Final Manufacture",H34 &amp; J34="LowHigh","Intermediate Primary Production",H34 &amp; J34="LowLow","Final Primary Production")</f>
        <v>Final Primary Production</v>
      </c>
      <c r="L34">
        <v>1.2149700000000001</v>
      </c>
      <c r="M34" t="str">
        <f t="shared" si="2"/>
        <v>Low</v>
      </c>
      <c r="N34">
        <v>1.0492699999999999</v>
      </c>
      <c r="O34" t="str">
        <f t="shared" si="3"/>
        <v>Low</v>
      </c>
      <c r="P34" t="str" cm="1">
        <f t="array" ref="P34">_xlfn.IFS(M34 &amp; O34="HighHigh","Intermediate Manufacture",M34 &amp; O34="HighLow","Final Manufacture",M34 &amp; O34="LowHigh","Intermediate Primary Production",M34 &amp; O34="LowLow","Final Primary Production")</f>
        <v>Final Primary Production</v>
      </c>
    </row>
    <row r="35" spans="1:16" x14ac:dyDescent="0.3">
      <c r="A35" t="s">
        <v>60</v>
      </c>
      <c r="B35">
        <v>2.2874800000000008</v>
      </c>
      <c r="C35" t="s">
        <v>79</v>
      </c>
      <c r="D35">
        <v>1.20668</v>
      </c>
      <c r="E35" t="s">
        <v>78</v>
      </c>
      <c r="F35" t="str" cm="1">
        <f t="array" ref="F35">_xlfn.IFS(C35 &amp; E35="HighHigh","Intermediate Manufacture",C35 &amp; E35="HighLow","Final Manufacture",C35 &amp; E35="LowHigh","Intermediate Primary Production",C35 &amp; E35="LowLow","Final Primary Production")</f>
        <v>Final Manufacture</v>
      </c>
      <c r="G35">
        <v>1.9966999999999999</v>
      </c>
      <c r="H35" t="str">
        <f t="shared" si="0"/>
        <v>High</v>
      </c>
      <c r="I35">
        <v>1.1579600000000003</v>
      </c>
      <c r="J35" t="str">
        <f t="shared" si="1"/>
        <v>Low</v>
      </c>
      <c r="K35" t="str" cm="1">
        <f t="array" ref="K35">_xlfn.IFS(H35 &amp; J35="HighHigh","Intermediate Manufacture",H35 &amp; J35="HighLow","Final Manufacture",H35 &amp; J35="LowHigh","Intermediate Primary Production",H35 &amp; J35="LowLow","Final Primary Production")</f>
        <v>Final Manufacture</v>
      </c>
      <c r="L35">
        <v>1.7999700000000001</v>
      </c>
      <c r="M35" t="str">
        <f t="shared" si="2"/>
        <v>High</v>
      </c>
      <c r="N35">
        <v>1.05576</v>
      </c>
      <c r="O35" t="str">
        <f t="shared" si="3"/>
        <v>Low</v>
      </c>
      <c r="P35" t="str" cm="1">
        <f t="array" ref="P35">_xlfn.IFS(M35 &amp; O35="HighHigh","Intermediate Manufacture",M35 &amp; O35="HighLow","Final Manufacture",M35 &amp; O35="LowHigh","Intermediate Primary Production",M35 &amp; O35="LowLow","Final Primary Production")</f>
        <v>Final Manufacture</v>
      </c>
    </row>
    <row r="36" spans="1:16" x14ac:dyDescent="0.3">
      <c r="A36" t="s">
        <v>61</v>
      </c>
      <c r="B36">
        <v>1.8484799999999999</v>
      </c>
      <c r="C36" t="s">
        <v>79</v>
      </c>
      <c r="D36">
        <v>1.51691</v>
      </c>
      <c r="E36" t="s">
        <v>78</v>
      </c>
      <c r="F36" t="str" cm="1">
        <f t="array" ref="F36">_xlfn.IFS(C36 &amp; E36="HighHigh","Intermediate Manufacture",C36 &amp; E36="HighLow","Final Manufacture",C36 &amp; E36="LowHigh","Intermediate Primary Production",C36 &amp; E36="LowLow","Final Primary Production")</f>
        <v>Final Manufacture</v>
      </c>
      <c r="G36">
        <v>1.7165600000000001</v>
      </c>
      <c r="H36" t="str">
        <f t="shared" si="0"/>
        <v>High</v>
      </c>
      <c r="I36">
        <v>1.3403200000000002</v>
      </c>
      <c r="J36" t="str">
        <f t="shared" si="1"/>
        <v>Low</v>
      </c>
      <c r="K36" t="str" cm="1">
        <f t="array" ref="K36">_xlfn.IFS(H36 &amp; J36="HighHigh","Intermediate Manufacture",H36 &amp; J36="HighLow","Final Manufacture",H36 &amp; J36="LowHigh","Intermediate Primary Production",H36 &amp; J36="LowLow","Final Primary Production")</f>
        <v>Final Manufacture</v>
      </c>
      <c r="L36">
        <v>1.5522199999999999</v>
      </c>
      <c r="M36" t="str">
        <f t="shared" si="2"/>
        <v>Low</v>
      </c>
      <c r="N36">
        <v>1.41306</v>
      </c>
      <c r="O36" t="str">
        <f t="shared" si="3"/>
        <v>Low</v>
      </c>
      <c r="P36" t="str" cm="1">
        <f t="array" ref="P36">_xlfn.IFS(M36 &amp; O36="HighHigh","Intermediate Manufacture",M36 &amp; O36="HighLow","Final Manufacture",M36 &amp; O36="LowHigh","Intermediate Primary Production",M36 &amp; O36="LowLow","Final Primary Production")</f>
        <v>Final Primary Production</v>
      </c>
    </row>
    <row r="37" spans="1:16" x14ac:dyDescent="0.3">
      <c r="A37" t="s">
        <v>62</v>
      </c>
      <c r="B37">
        <v>1.33843</v>
      </c>
      <c r="C37" t="s">
        <v>78</v>
      </c>
      <c r="D37">
        <v>1.1299500000000002</v>
      </c>
      <c r="E37" t="s">
        <v>78</v>
      </c>
      <c r="F37" t="str" cm="1">
        <f t="array" ref="F37">_xlfn.IFS(C37 &amp; E37="HighHigh","Intermediate Manufacture",C37 &amp; E37="HighLow","Final Manufacture",C37 &amp; E37="LowHigh","Intermediate Primary Production",C37 &amp; E37="LowLow","Final Primary Production")</f>
        <v>Final Primary Production</v>
      </c>
      <c r="G37">
        <v>1.63815</v>
      </c>
      <c r="H37" t="str">
        <f t="shared" si="0"/>
        <v>Low</v>
      </c>
      <c r="I37">
        <v>1.1691499999999999</v>
      </c>
      <c r="J37" t="str">
        <f t="shared" si="1"/>
        <v>Low</v>
      </c>
      <c r="K37" t="str" cm="1">
        <f t="array" ref="K37">_xlfn.IFS(H37 &amp; J37="HighHigh","Intermediate Manufacture",H37 &amp; J37="HighLow","Final Manufacture",H37 &amp; J37="LowHigh","Intermediate Primary Production",H37 &amp; J37="LowLow","Final Primary Production")</f>
        <v>Final Primary Production</v>
      </c>
      <c r="L37">
        <v>1.7268300000000001</v>
      </c>
      <c r="M37" t="str">
        <f t="shared" si="2"/>
        <v>High</v>
      </c>
      <c r="N37">
        <v>1.3613500000000001</v>
      </c>
      <c r="O37" t="str">
        <f t="shared" si="3"/>
        <v>Low</v>
      </c>
      <c r="P37" t="str" cm="1">
        <f t="array" ref="P37">_xlfn.IFS(M37 &amp; O37="HighHigh","Intermediate Manufacture",M37 &amp; O37="HighLow","Final Manufacture",M37 &amp; O37="LowHigh","Intermediate Primary Production",M37 &amp; O37="LowLow","Final Primary Production")</f>
        <v>Final Manufacture</v>
      </c>
    </row>
    <row r="38" spans="1:16" x14ac:dyDescent="0.3">
      <c r="A38" t="s">
        <v>63</v>
      </c>
      <c r="B38">
        <v>2.1445100000000004</v>
      </c>
      <c r="C38" t="s">
        <v>79</v>
      </c>
      <c r="D38">
        <v>1.3350000000000002</v>
      </c>
      <c r="E38" t="s">
        <v>78</v>
      </c>
      <c r="F38" t="str" cm="1">
        <f t="array" ref="F38">_xlfn.IFS(C38 &amp; E38="HighHigh","Intermediate Manufacture",C38 &amp; E38="HighLow","Final Manufacture",C38 &amp; E38="LowHigh","Intermediate Primary Production",C38 &amp; E38="LowLow","Final Primary Production")</f>
        <v>Final Manufacture</v>
      </c>
      <c r="G38">
        <v>1.86561</v>
      </c>
      <c r="H38" t="str">
        <f t="shared" si="0"/>
        <v>High</v>
      </c>
      <c r="I38">
        <v>1.2288799999999998</v>
      </c>
      <c r="J38" t="str">
        <f t="shared" si="1"/>
        <v>Low</v>
      </c>
      <c r="K38" t="str" cm="1">
        <f t="array" ref="K38">_xlfn.IFS(H38 &amp; J38="HighHigh","Intermediate Manufacture",H38 &amp; J38="HighLow","Final Manufacture",H38 &amp; J38="LowHigh","Intermediate Primary Production",H38 &amp; J38="LowLow","Final Primary Production")</f>
        <v>Final Manufacture</v>
      </c>
      <c r="L38">
        <v>2.0129899999999998</v>
      </c>
      <c r="M38" t="str">
        <f t="shared" si="2"/>
        <v>High</v>
      </c>
      <c r="N38">
        <v>1.2520499999999997</v>
      </c>
      <c r="O38" t="str">
        <f t="shared" si="3"/>
        <v>Low</v>
      </c>
      <c r="P38" t="str" cm="1">
        <f t="array" ref="P38">_xlfn.IFS(M38 &amp; O38="HighHigh","Intermediate Manufacture",M38 &amp; O38="HighLow","Final Manufacture",M38 &amp; O38="LowHigh","Intermediate Primary Production",M38 &amp; O38="LowLow","Final Primary Production")</f>
        <v>Final Manufacture</v>
      </c>
    </row>
    <row r="39" spans="1:16" x14ac:dyDescent="0.3">
      <c r="A39" t="s">
        <v>64</v>
      </c>
      <c r="B39">
        <v>2.0115600000000002</v>
      </c>
      <c r="C39" t="s">
        <v>79</v>
      </c>
      <c r="D39">
        <v>1.1336399999999998</v>
      </c>
      <c r="E39" t="s">
        <v>78</v>
      </c>
      <c r="F39" t="str" cm="1">
        <f t="array" ref="F39">_xlfn.IFS(C39 &amp; E39="HighHigh","Intermediate Manufacture",C39 &amp; E39="HighLow","Final Manufacture",C39 &amp; E39="LowHigh","Intermediate Primary Production",C39 &amp; E39="LowLow","Final Primary Production")</f>
        <v>Final Manufacture</v>
      </c>
      <c r="G39">
        <v>1.79901</v>
      </c>
      <c r="H39" t="str">
        <f t="shared" si="0"/>
        <v>High</v>
      </c>
      <c r="I39">
        <v>1.1441299999999996</v>
      </c>
      <c r="J39" t="str">
        <f t="shared" si="1"/>
        <v>Low</v>
      </c>
      <c r="K39" t="str" cm="1">
        <f t="array" ref="K39">_xlfn.IFS(H39 &amp; J39="HighHigh","Intermediate Manufacture",H39 &amp; J39="HighLow","Final Manufacture",H39 &amp; J39="LowHigh","Intermediate Primary Production",H39 &amp; J39="LowLow","Final Primary Production")</f>
        <v>Final Manufacture</v>
      </c>
      <c r="L39">
        <v>1.78077</v>
      </c>
      <c r="M39" t="str">
        <f t="shared" si="2"/>
        <v>High</v>
      </c>
      <c r="N39">
        <v>1.1971599999999998</v>
      </c>
      <c r="O39" t="str">
        <f t="shared" si="3"/>
        <v>Low</v>
      </c>
      <c r="P39" t="str" cm="1">
        <f t="array" ref="P39">_xlfn.IFS(M39 &amp; O39="HighHigh","Intermediate Manufacture",M39 &amp; O39="HighLow","Final Manufacture",M39 &amp; O39="LowHigh","Intermediate Primary Production",M39 &amp; O39="LowLow","Final Primary Production")</f>
        <v>Final Manufacture</v>
      </c>
    </row>
    <row r="40" spans="1:16" x14ac:dyDescent="0.3">
      <c r="A40" t="s">
        <v>65</v>
      </c>
      <c r="B40">
        <v>2.23699</v>
      </c>
      <c r="C40" t="s">
        <v>79</v>
      </c>
      <c r="D40">
        <v>2.0162800000000001</v>
      </c>
      <c r="E40" t="s">
        <v>79</v>
      </c>
      <c r="F40" t="str" cm="1">
        <f t="array" ref="F40">_xlfn.IFS(C40 &amp; E40="HighHigh","Intermediate Manufacture",C40 &amp; E40="HighLow","Final Manufacture",C40 &amp; E40="LowHigh","Intermediate Primary Production",C40 &amp; E40="LowLow","Final Primary Production")</f>
        <v>Intermediate Manufacture</v>
      </c>
      <c r="G40">
        <v>1.8653500000000001</v>
      </c>
      <c r="H40" t="str">
        <f t="shared" si="0"/>
        <v>High</v>
      </c>
      <c r="I40">
        <v>1.4922000000000002</v>
      </c>
      <c r="J40" t="str">
        <f t="shared" si="1"/>
        <v>Low</v>
      </c>
      <c r="K40" t="str" cm="1">
        <f t="array" ref="K40">_xlfn.IFS(H40 &amp; J40="HighHigh","Intermediate Manufacture",H40 &amp; J40="HighLow","Final Manufacture",H40 &amp; J40="LowHigh","Intermediate Primary Production",H40 &amp; J40="LowLow","Final Primary Production")</f>
        <v>Final Manufacture</v>
      </c>
      <c r="L40">
        <v>1.79382</v>
      </c>
      <c r="M40" t="str">
        <f t="shared" si="2"/>
        <v>High</v>
      </c>
      <c r="N40">
        <v>1.5353499999999998</v>
      </c>
      <c r="O40" t="str">
        <f t="shared" si="3"/>
        <v>Low</v>
      </c>
      <c r="P40" t="str" cm="1">
        <f t="array" ref="P40">_xlfn.IFS(M40 &amp; O40="HighHigh","Intermediate Manufacture",M40 &amp; O40="HighLow","Final Manufacture",M40 &amp; O40="LowHigh","Intermediate Primary Production",M40 &amp; O40="LowLow","Final Primary Production")</f>
        <v>Final Manufacture</v>
      </c>
    </row>
    <row r="41" spans="1:16" x14ac:dyDescent="0.3">
      <c r="A41" t="s">
        <v>66</v>
      </c>
      <c r="B41">
        <v>1.5551000000000001</v>
      </c>
      <c r="C41" t="s">
        <v>78</v>
      </c>
      <c r="D41">
        <v>1.4057299999999999</v>
      </c>
      <c r="E41" t="s">
        <v>78</v>
      </c>
      <c r="F41" t="str" cm="1">
        <f t="array" ref="F41">_xlfn.IFS(C41 &amp; E41="HighHigh","Intermediate Manufacture",C41 &amp; E41="HighLow","Final Manufacture",C41 &amp; E41="LowHigh","Intermediate Primary Production",C41 &amp; E41="LowLow","Final Primary Production")</f>
        <v>Final Primary Production</v>
      </c>
      <c r="G41">
        <v>1.43719</v>
      </c>
      <c r="H41" t="str">
        <f t="shared" si="0"/>
        <v>Low</v>
      </c>
      <c r="I41">
        <v>1.7775699999999999</v>
      </c>
      <c r="J41" t="str">
        <f t="shared" si="1"/>
        <v>High</v>
      </c>
      <c r="K41" t="str" cm="1">
        <f t="array" ref="K41">_xlfn.IFS(H41 &amp; J41="HighHigh","Intermediate Manufacture",H41 &amp; J41="HighLow","Final Manufacture",H41 &amp; J41="LowHigh","Intermediate Primary Production",H41 &amp; J41="LowLow","Final Primary Production")</f>
        <v>Intermediate Primary Production</v>
      </c>
      <c r="L41">
        <v>1.3852500000000001</v>
      </c>
      <c r="M41" t="str">
        <f t="shared" si="2"/>
        <v>Low</v>
      </c>
      <c r="N41">
        <v>1.5778000000000001</v>
      </c>
      <c r="O41" t="str">
        <f t="shared" si="3"/>
        <v>Low</v>
      </c>
      <c r="P41" t="str" cm="1">
        <f t="array" ref="P41">_xlfn.IFS(M41 &amp; O41="HighHigh","Intermediate Manufacture",M41 &amp; O41="HighLow","Final Manufacture",M41 &amp; O41="LowHigh","Intermediate Primary Production",M41 &amp; O41="LowLow","Final Primary Production")</f>
        <v>Final Primary Production</v>
      </c>
    </row>
    <row r="42" spans="1:16" x14ac:dyDescent="0.3">
      <c r="A42" t="s">
        <v>67</v>
      </c>
      <c r="B42">
        <v>1.7332199999999998</v>
      </c>
      <c r="C42" t="s">
        <v>78</v>
      </c>
      <c r="D42">
        <v>4.2237199999999993</v>
      </c>
      <c r="E42" t="s">
        <v>79</v>
      </c>
      <c r="F42" t="str" cm="1">
        <f t="array" ref="F42">_xlfn.IFS(C42 &amp; E42="HighHigh","Intermediate Manufacture",C42 &amp; E42="HighLow","Final Manufacture",C42 &amp; E42="LowHigh","Intermediate Primary Production",C42 &amp; E42="LowLow","Final Primary Production")</f>
        <v>Intermediate Primary Production</v>
      </c>
      <c r="G42">
        <v>1.6336900000000001</v>
      </c>
      <c r="H42" t="str">
        <f t="shared" si="0"/>
        <v>Low</v>
      </c>
      <c r="I42">
        <v>4.3103500000000006</v>
      </c>
      <c r="J42" t="str">
        <f t="shared" si="1"/>
        <v>High</v>
      </c>
      <c r="K42" t="str" cm="1">
        <f t="array" ref="K42">_xlfn.IFS(H42 &amp; J42="HighHigh","Intermediate Manufacture",H42 &amp; J42="HighLow","Final Manufacture",H42 &amp; J42="LowHigh","Intermediate Primary Production",H42 &amp; J42="LowLow","Final Primary Production")</f>
        <v>Intermediate Primary Production</v>
      </c>
      <c r="L42">
        <v>1.68059</v>
      </c>
      <c r="M42" t="str">
        <f t="shared" si="2"/>
        <v>Low</v>
      </c>
      <c r="N42">
        <v>3.82315</v>
      </c>
      <c r="O42" t="str">
        <f t="shared" si="3"/>
        <v>High</v>
      </c>
      <c r="P42" t="str" cm="1">
        <f t="array" ref="P42">_xlfn.IFS(M42 &amp; O42="HighHigh","Intermediate Manufacture",M42 &amp; O42="HighLow","Final Manufacture",M42 &amp; O42="LowHigh","Intermediate Primary Production",M42 &amp; O42="LowLow","Final Primary Production")</f>
        <v>Intermediate Primary Production</v>
      </c>
    </row>
    <row r="43" spans="1:16" x14ac:dyDescent="0.3">
      <c r="A43" t="s">
        <v>68</v>
      </c>
      <c r="B43">
        <v>1.3822100000000002</v>
      </c>
      <c r="C43" t="s">
        <v>78</v>
      </c>
      <c r="D43">
        <v>1.4029800000000001</v>
      </c>
      <c r="E43" t="s">
        <v>78</v>
      </c>
      <c r="F43" t="str" cm="1">
        <f t="array" ref="F43">_xlfn.IFS(C43 &amp; E43="HighHigh","Intermediate Manufacture",C43 &amp; E43="HighLow","Final Manufacture",C43 &amp; E43="LowHigh","Intermediate Primary Production",C43 &amp; E43="LowLow","Final Primary Production")</f>
        <v>Final Primary Production</v>
      </c>
      <c r="G43">
        <v>1.2396199999999999</v>
      </c>
      <c r="H43" t="str">
        <f t="shared" si="0"/>
        <v>Low</v>
      </c>
      <c r="I43">
        <v>1.2405599999999999</v>
      </c>
      <c r="J43" t="str">
        <f t="shared" si="1"/>
        <v>Low</v>
      </c>
      <c r="K43" t="str" cm="1">
        <f t="array" ref="K43">_xlfn.IFS(H43 &amp; J43="HighHigh","Intermediate Manufacture",H43 &amp; J43="HighLow","Final Manufacture",H43 &amp; J43="LowHigh","Intermediate Primary Production",H43 &amp; J43="LowLow","Final Primary Production")</f>
        <v>Final Primary Production</v>
      </c>
      <c r="L43">
        <v>1.2486600000000001</v>
      </c>
      <c r="M43" t="str">
        <f t="shared" si="2"/>
        <v>Low</v>
      </c>
      <c r="N43">
        <v>1.19459</v>
      </c>
      <c r="O43" t="str">
        <f t="shared" si="3"/>
        <v>Low</v>
      </c>
      <c r="P43" t="str" cm="1">
        <f t="array" ref="P43">_xlfn.IFS(M43 &amp; O43="HighHigh","Intermediate Manufacture",M43 &amp; O43="HighLow","Final Manufacture",M43 &amp; O43="LowHigh","Intermediate Primary Production",M43 &amp; O43="LowLow","Final Primary Production")</f>
        <v>Final Primary Production</v>
      </c>
    </row>
    <row r="44" spans="1:16" x14ac:dyDescent="0.3">
      <c r="A44" t="s">
        <v>69</v>
      </c>
      <c r="B44">
        <v>1.6738099999999998</v>
      </c>
      <c r="C44" t="s">
        <v>78</v>
      </c>
      <c r="D44">
        <v>1.0107500000000003</v>
      </c>
      <c r="E44" t="s">
        <v>78</v>
      </c>
      <c r="F44" t="str" cm="1">
        <f t="array" ref="F44">_xlfn.IFS(C44 &amp; E44="HighHigh","Intermediate Manufacture",C44 &amp; E44="HighLow","Final Manufacture",C44 &amp; E44="LowHigh","Intermediate Primary Production",C44 &amp; E44="LowLow","Final Primary Production")</f>
        <v>Final Primary Production</v>
      </c>
      <c r="G44">
        <v>1.5023599999999999</v>
      </c>
      <c r="H44" t="str">
        <f t="shared" si="0"/>
        <v>Low</v>
      </c>
      <c r="I44">
        <v>1.0206299999999997</v>
      </c>
      <c r="J44" t="str">
        <f t="shared" si="1"/>
        <v>Low</v>
      </c>
      <c r="K44" t="str" cm="1">
        <f t="array" ref="K44">_xlfn.IFS(H44 &amp; J44="HighHigh","Intermediate Manufacture",H44 &amp; J44="HighLow","Final Manufacture",H44 &amp; J44="LowHigh","Intermediate Primary Production",H44 &amp; J44="LowLow","Final Primary Production")</f>
        <v>Final Primary Production</v>
      </c>
      <c r="L44">
        <v>1.4777400000000001</v>
      </c>
      <c r="M44" t="str">
        <f t="shared" si="2"/>
        <v>Low</v>
      </c>
      <c r="N44">
        <v>1.0171499999999998</v>
      </c>
      <c r="O44" t="str">
        <f t="shared" si="3"/>
        <v>Low</v>
      </c>
      <c r="P44" t="str" cm="1">
        <f t="array" ref="P44">_xlfn.IFS(M44 &amp; O44="HighHigh","Intermediate Manufacture",M44 &amp; O44="HighLow","Final Manufacture",M44 &amp; O44="LowHigh","Intermediate Primary Production",M44 &amp; O44="LowLow","Final Primary Production")</f>
        <v>Final Primary Production</v>
      </c>
    </row>
    <row r="45" spans="1:16" x14ac:dyDescent="0.3">
      <c r="A45" t="s">
        <v>70</v>
      </c>
      <c r="B45">
        <v>1.67774</v>
      </c>
      <c r="C45" t="s">
        <v>78</v>
      </c>
      <c r="D45">
        <v>1.99508</v>
      </c>
      <c r="E45" t="s">
        <v>79</v>
      </c>
      <c r="F45" t="str" cm="1">
        <f t="array" ref="F45">_xlfn.IFS(C45 &amp; E45="HighHigh","Intermediate Manufacture",C45 &amp; E45="HighLow","Final Manufacture",C45 &amp; E45="LowHigh","Intermediate Primary Production",C45 &amp; E45="LowLow","Final Primary Production")</f>
        <v>Intermediate Primary Production</v>
      </c>
      <c r="G45">
        <v>1.53027</v>
      </c>
      <c r="H45" t="str">
        <f t="shared" si="0"/>
        <v>Low</v>
      </c>
      <c r="I45">
        <v>2.5355400000000001</v>
      </c>
      <c r="J45" t="str">
        <f t="shared" si="1"/>
        <v>High</v>
      </c>
      <c r="K45" t="str" cm="1">
        <f t="array" ref="K45">_xlfn.IFS(H45 &amp; J45="HighHigh","Intermediate Manufacture",H45 &amp; J45="HighLow","Final Manufacture",H45 &amp; J45="LowHigh","Intermediate Primary Production",H45 &amp; J45="LowLow","Final Primary Production")</f>
        <v>Intermediate Primary Production</v>
      </c>
      <c r="L45">
        <v>1.5173099999999999</v>
      </c>
      <c r="M45" t="str">
        <f t="shared" si="2"/>
        <v>Low</v>
      </c>
      <c r="N45">
        <v>2.4931399999999995</v>
      </c>
      <c r="O45" t="str">
        <f t="shared" si="3"/>
        <v>High</v>
      </c>
      <c r="P45" t="str" cm="1">
        <f t="array" ref="P45">_xlfn.IFS(M45 &amp; O45="HighHigh","Intermediate Manufacture",M45 &amp; O45="HighLow","Final Manufacture",M45 &amp; O45="LowHigh","Intermediate Primary Production",M45 &amp; O45="LowLow","Final Primary Production")</f>
        <v>Intermediate Primary Production</v>
      </c>
    </row>
    <row r="46" spans="1:16" x14ac:dyDescent="0.3">
      <c r="A46" t="s">
        <v>71</v>
      </c>
      <c r="B46">
        <v>1.4946700000000002</v>
      </c>
      <c r="C46" t="s">
        <v>78</v>
      </c>
      <c r="D46">
        <v>1.2145000000000001</v>
      </c>
      <c r="E46" t="s">
        <v>78</v>
      </c>
      <c r="F46" t="str" cm="1">
        <f t="array" ref="F46">_xlfn.IFS(C46 &amp; E46="HighHigh","Intermediate Manufacture",C46 &amp; E46="HighLow","Final Manufacture",C46 &amp; E46="LowHigh","Intermediate Primary Production",C46 &amp; E46="LowLow","Final Primary Production")</f>
        <v>Final Primary Production</v>
      </c>
      <c r="G46">
        <v>1.29931</v>
      </c>
      <c r="H46" t="str">
        <f t="shared" si="0"/>
        <v>Low</v>
      </c>
      <c r="I46">
        <v>1.0623</v>
      </c>
      <c r="J46" t="str">
        <f t="shared" si="1"/>
        <v>Low</v>
      </c>
      <c r="K46" t="str" cm="1">
        <f t="array" ref="K46">_xlfn.IFS(H46 &amp; J46="HighHigh","Intermediate Manufacture",H46 &amp; J46="HighLow","Final Manufacture",H46 &amp; J46="LowHigh","Intermediate Primary Production",H46 &amp; J46="LowLow","Final Primary Production")</f>
        <v>Final Primary Production</v>
      </c>
      <c r="L46">
        <v>1.24854</v>
      </c>
      <c r="M46" t="str">
        <f t="shared" si="2"/>
        <v>Low</v>
      </c>
      <c r="N46">
        <v>1.0900700000000001</v>
      </c>
      <c r="O46" t="str">
        <f t="shared" si="3"/>
        <v>Low</v>
      </c>
      <c r="P46" t="str" cm="1">
        <f t="array" ref="P46">_xlfn.IFS(M46 &amp; O46="HighHigh","Intermediate Manufacture",M46 &amp; O46="HighLow","Final Manufacture",M46 &amp; O46="LowHigh","Intermediate Primary Production",M46 &amp; O46="LowLow","Final Primary Production")</f>
        <v>Final Primary Production</v>
      </c>
    </row>
    <row r="47" spans="1:16" x14ac:dyDescent="0.3">
      <c r="A47" t="s">
        <v>72</v>
      </c>
      <c r="B47">
        <v>1.4420000000000002</v>
      </c>
      <c r="C47" t="s">
        <v>78</v>
      </c>
      <c r="D47">
        <v>1.0394699999999999</v>
      </c>
      <c r="E47" t="s">
        <v>78</v>
      </c>
      <c r="F47" t="str" cm="1">
        <f t="array" ref="F47">_xlfn.IFS(C47 &amp; E47="HighHigh","Intermediate Manufacture",C47 &amp; E47="HighLow","Final Manufacture",C47 &amp; E47="LowHigh","Intermediate Primary Production",C47 &amp; E47="LowLow","Final Primary Production")</f>
        <v>Final Primary Production</v>
      </c>
      <c r="G47">
        <v>1.2634300000000001</v>
      </c>
      <c r="H47" t="str">
        <f t="shared" si="0"/>
        <v>Low</v>
      </c>
      <c r="I47">
        <v>1.21349</v>
      </c>
      <c r="J47" t="str">
        <f t="shared" si="1"/>
        <v>Low</v>
      </c>
      <c r="K47" t="str" cm="1">
        <f t="array" ref="K47">_xlfn.IFS(H47 &amp; J47="HighHigh","Intermediate Manufacture",H47 &amp; J47="HighLow","Final Manufacture",H47 &amp; J47="LowHigh","Intermediate Primary Production",H47 &amp; J47="LowLow","Final Primary Production")</f>
        <v>Final Primary Production</v>
      </c>
      <c r="L47">
        <v>1.13907</v>
      </c>
      <c r="M47" t="str">
        <f t="shared" si="2"/>
        <v>Low</v>
      </c>
      <c r="N47">
        <v>1.1736599999999999</v>
      </c>
      <c r="O47" t="str">
        <f t="shared" si="3"/>
        <v>Low</v>
      </c>
      <c r="P47" t="str" cm="1">
        <f t="array" ref="P47">_xlfn.IFS(M47 &amp; O47="HighHigh","Intermediate Manufacture",M47 &amp; O47="HighLow","Final Manufacture",M47 &amp; O47="LowHigh","Intermediate Primary Production",M47 &amp; O47="LowLow","Final Primary Production")</f>
        <v>Final Primary Production</v>
      </c>
    </row>
    <row r="48" spans="1:16" x14ac:dyDescent="0.3">
      <c r="A48" t="s">
        <v>73</v>
      </c>
      <c r="B48">
        <v>1.6103599999999998</v>
      </c>
      <c r="C48" t="s">
        <v>78</v>
      </c>
      <c r="D48">
        <v>1.0121600000000002</v>
      </c>
      <c r="E48" t="s">
        <v>78</v>
      </c>
      <c r="F48" t="str" cm="1">
        <f t="array" ref="F48">_xlfn.IFS(C48 &amp; E48="HighHigh","Intermediate Manufacture",C48 &amp; E48="HighLow","Final Manufacture",C48 &amp; E48="LowHigh","Intermediate Primary Production",C48 &amp; E48="LowLow","Final Primary Production")</f>
        <v>Final Primary Production</v>
      </c>
      <c r="G48">
        <v>1.40082</v>
      </c>
      <c r="H48" t="str">
        <f t="shared" si="0"/>
        <v>Low</v>
      </c>
      <c r="I48">
        <v>1.0397400000000001</v>
      </c>
      <c r="J48" t="str">
        <f t="shared" si="1"/>
        <v>Low</v>
      </c>
      <c r="K48" t="str" cm="1">
        <f t="array" ref="K48">_xlfn.IFS(H48 &amp; J48="HighHigh","Intermediate Manufacture",H48 &amp; J48="HighLow","Final Manufacture",H48 &amp; J48="LowHigh","Intermediate Primary Production",H48 &amp; J48="LowLow","Final Primary Production")</f>
        <v>Final Primary Production</v>
      </c>
      <c r="L48">
        <v>1.45706</v>
      </c>
      <c r="M48" t="str">
        <f t="shared" si="2"/>
        <v>Low</v>
      </c>
      <c r="N48">
        <v>1.0340499999999999</v>
      </c>
      <c r="O48" t="str">
        <f t="shared" si="3"/>
        <v>Low</v>
      </c>
      <c r="P48" t="str" cm="1">
        <f t="array" ref="P48">_xlfn.IFS(M48 &amp; O48="HighHigh","Intermediate Manufacture",M48 &amp; O48="HighLow","Final Manufacture",M48 &amp; O48="LowHigh","Intermediate Primary Production",M48 &amp; O48="LowLow","Final Primary Production")</f>
        <v>Final Primary Production</v>
      </c>
    </row>
    <row r="49" spans="1:16" x14ac:dyDescent="0.3">
      <c r="A49" t="s">
        <v>74</v>
      </c>
      <c r="B49">
        <v>1.8740399999999999</v>
      </c>
      <c r="C49" t="s">
        <v>79</v>
      </c>
      <c r="D49">
        <v>1.0150299999999999</v>
      </c>
      <c r="E49" t="s">
        <v>78</v>
      </c>
      <c r="F49" t="str" cm="1">
        <f t="array" ref="F49">_xlfn.IFS(C49 &amp; E49="HighHigh","Intermediate Manufacture",C49 &amp; E49="HighLow","Final Manufacture",C49 &amp; E49="LowHigh","Intermediate Primary Production",C49 &amp; E49="LowLow","Final Primary Production")</f>
        <v>Final Manufacture</v>
      </c>
      <c r="G49">
        <v>1.6261699999999999</v>
      </c>
      <c r="H49" t="str">
        <f t="shared" si="0"/>
        <v>Low</v>
      </c>
      <c r="I49">
        <v>1.0196099999999999</v>
      </c>
      <c r="J49" t="str">
        <f t="shared" si="1"/>
        <v>Low</v>
      </c>
      <c r="K49" t="str" cm="1">
        <f t="array" ref="K49">_xlfn.IFS(H49 &amp; J49="HighHigh","Intermediate Manufacture",H49 &amp; J49="HighLow","Final Manufacture",H49 &amp; J49="LowHigh","Intermediate Primary Production",H49 &amp; J49="LowLow","Final Primary Production")</f>
        <v>Final Primary Production</v>
      </c>
      <c r="L49">
        <v>1.6010800000000001</v>
      </c>
      <c r="M49" t="str">
        <f t="shared" si="2"/>
        <v>Low</v>
      </c>
      <c r="N49">
        <v>1.0401199999999999</v>
      </c>
      <c r="O49" t="str">
        <f t="shared" si="3"/>
        <v>Low</v>
      </c>
      <c r="P49" t="str" cm="1">
        <f t="array" ref="P49">_xlfn.IFS(M49 &amp; O49="HighHigh","Intermediate Manufacture",M49 &amp; O49="HighLow","Final Manufacture",M49 &amp; O49="LowHigh","Intermediate Primary Production",M49 &amp; O49="LowLow","Final Primary Production")</f>
        <v>Final Primary Production</v>
      </c>
    </row>
    <row r="50" spans="1:16" x14ac:dyDescent="0.3">
      <c r="A50" t="s">
        <v>75</v>
      </c>
      <c r="B50">
        <v>1.7475499999999999</v>
      </c>
      <c r="C50" t="s">
        <v>78</v>
      </c>
      <c r="D50">
        <v>1.0967899999999999</v>
      </c>
      <c r="E50" t="s">
        <v>78</v>
      </c>
      <c r="F50" t="str" cm="1">
        <f t="array" ref="F50">_xlfn.IFS(C50 &amp; E50="HighHigh","Intermediate Manufacture",C50 &amp; E50="HighLow","Final Manufacture",C50 &amp; E50="LowHigh","Intermediate Primary Production",C50 &amp; E50="LowLow","Final Primary Production")</f>
        <v>Final Primary Production</v>
      </c>
      <c r="G50">
        <v>1.4911399999999999</v>
      </c>
      <c r="H50" t="str">
        <f t="shared" si="0"/>
        <v>Low</v>
      </c>
      <c r="I50">
        <v>1.13941</v>
      </c>
      <c r="J50" t="str">
        <f t="shared" si="1"/>
        <v>Low</v>
      </c>
      <c r="K50" t="str" cm="1">
        <f t="array" ref="K50">_xlfn.IFS(H50 &amp; J50="HighHigh","Intermediate Manufacture",H50 &amp; J50="HighLow","Final Manufacture",H50 &amp; J50="LowHigh","Intermediate Primary Production",H50 &amp; J50="LowLow","Final Primary Production")</f>
        <v>Final Primary Production</v>
      </c>
      <c r="L50">
        <v>1.4846200000000001</v>
      </c>
      <c r="M50" t="str">
        <f t="shared" si="2"/>
        <v>Low</v>
      </c>
      <c r="N50">
        <v>1.1173</v>
      </c>
      <c r="O50" t="str">
        <f t="shared" si="3"/>
        <v>Low</v>
      </c>
      <c r="P50" t="str" cm="1">
        <f t="array" ref="P50">_xlfn.IFS(M50 &amp; O50="HighHigh","Intermediate Manufacture",M50 &amp; O50="HighLow","Final Manufacture",M50 &amp; O50="LowHigh","Intermediate Primary Production",M50 &amp; O50="LowLow","Final Primary Production")</f>
        <v>Final Primary Production</v>
      </c>
    </row>
    <row r="51" spans="1:16" x14ac:dyDescent="0.3">
      <c r="A51" t="s">
        <v>76</v>
      </c>
      <c r="B51">
        <v>1</v>
      </c>
      <c r="C51" t="s">
        <v>78</v>
      </c>
      <c r="D51">
        <v>1</v>
      </c>
      <c r="E51" t="s">
        <v>78</v>
      </c>
      <c r="F51" t="str" cm="1">
        <f t="array" ref="F51">_xlfn.IFS(C51 &amp; E51="HighHigh","Intermediate Manufacture",C51 &amp; E51="HighLow","Final Manufacture",C51 &amp; E51="LowHigh","Intermediate Primary Production",C51 &amp; E51="LowLow","Final Primary Production")</f>
        <v>Final Primary Production</v>
      </c>
      <c r="G51">
        <v>1</v>
      </c>
      <c r="H51" t="str">
        <f t="shared" si="0"/>
        <v>Low</v>
      </c>
      <c r="I51">
        <v>1</v>
      </c>
      <c r="J51" t="str">
        <f t="shared" si="1"/>
        <v>Low</v>
      </c>
      <c r="K51" t="str" cm="1">
        <f t="array" ref="K51">_xlfn.IFS(H51 &amp; J51="HighHigh","Intermediate Manufacture",H51 &amp; J51="HighLow","Final Manufacture",H51 &amp; J51="LowHigh","Intermediate Primary Production",H51 &amp; J51="LowLow","Final Primary Production")</f>
        <v>Final Primary Production</v>
      </c>
      <c r="L51">
        <v>1</v>
      </c>
      <c r="M51" t="str">
        <f t="shared" si="2"/>
        <v>Low</v>
      </c>
      <c r="N51">
        <v>1</v>
      </c>
      <c r="O51" t="str">
        <f t="shared" si="3"/>
        <v>Low</v>
      </c>
      <c r="P51" t="str" cm="1">
        <f t="array" ref="P51">_xlfn.IFS(M51 &amp; O51="HighHigh","Intermediate Manufacture",M51 &amp; O51="HighLow","Final Manufacture",M51 &amp; O51="LowHigh","Intermediate Primary Production",M51 &amp; O51="LowLow","Final Primary Production")</f>
        <v>Final Primary Production</v>
      </c>
    </row>
    <row r="52" spans="1:16" x14ac:dyDescent="0.3">
      <c r="G52">
        <v>1.7043828000000003</v>
      </c>
      <c r="I52">
        <v>1.7043845999999996</v>
      </c>
      <c r="L52">
        <v>1.6956262000000002</v>
      </c>
      <c r="N52">
        <v>1.6956255999999996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F673-5B16-4752-A1D1-5B4574D0D0CE}">
  <dimension ref="A1:D51"/>
  <sheetViews>
    <sheetView tabSelected="1" zoomScale="87" workbookViewId="0">
      <selection sqref="A1:D51"/>
    </sheetView>
  </sheetViews>
  <sheetFormatPr defaultRowHeight="14.4" x14ac:dyDescent="0.3"/>
  <cols>
    <col min="1" max="1" width="33.88671875" style="1" customWidth="1"/>
    <col min="2" max="2" width="26.88671875" customWidth="1"/>
    <col min="3" max="3" width="27.33203125" bestFit="1" customWidth="1"/>
    <col min="4" max="4" width="27.33203125" customWidth="1"/>
  </cols>
  <sheetData>
    <row r="1" spans="1:4" x14ac:dyDescent="0.3">
      <c r="A1" s="10" t="s">
        <v>0</v>
      </c>
      <c r="B1" s="3" t="s">
        <v>87</v>
      </c>
      <c r="C1" s="3" t="s">
        <v>88</v>
      </c>
      <c r="D1" s="3" t="s">
        <v>89</v>
      </c>
    </row>
    <row r="2" spans="1:4" x14ac:dyDescent="0.3">
      <c r="A2" s="11" t="s">
        <v>27</v>
      </c>
      <c r="B2" s="7" t="s">
        <v>85</v>
      </c>
      <c r="C2" s="7" t="s">
        <v>85</v>
      </c>
      <c r="D2" s="7" t="s">
        <v>85</v>
      </c>
    </row>
    <row r="3" spans="1:4" x14ac:dyDescent="0.3">
      <c r="A3" s="11" t="s">
        <v>28</v>
      </c>
      <c r="B3" s="7" t="s">
        <v>85</v>
      </c>
      <c r="C3" s="7" t="s">
        <v>85</v>
      </c>
      <c r="D3" s="7" t="s">
        <v>85</v>
      </c>
    </row>
    <row r="4" spans="1:4" x14ac:dyDescent="0.3">
      <c r="A4" s="11" t="s">
        <v>32</v>
      </c>
      <c r="B4" s="7" t="s">
        <v>84</v>
      </c>
      <c r="C4" s="7" t="s">
        <v>83</v>
      </c>
      <c r="D4" s="7" t="s">
        <v>85</v>
      </c>
    </row>
    <row r="5" spans="1:4" x14ac:dyDescent="0.3">
      <c r="A5" s="11" t="s">
        <v>39</v>
      </c>
      <c r="B5" s="7" t="s">
        <v>85</v>
      </c>
      <c r="C5" s="7" t="s">
        <v>85</v>
      </c>
      <c r="D5" s="7" t="s">
        <v>85</v>
      </c>
    </row>
    <row r="6" spans="1:4" ht="28.8" x14ac:dyDescent="0.3">
      <c r="A6" s="11" t="s">
        <v>54</v>
      </c>
      <c r="B6" s="7" t="s">
        <v>86</v>
      </c>
      <c r="C6" s="7" t="s">
        <v>85</v>
      </c>
      <c r="D6" s="7" t="s">
        <v>85</v>
      </c>
    </row>
    <row r="7" spans="1:4" ht="28.8" x14ac:dyDescent="0.3">
      <c r="A7" s="11" t="s">
        <v>57</v>
      </c>
      <c r="B7" s="7" t="s">
        <v>85</v>
      </c>
      <c r="C7" s="7" t="s">
        <v>85</v>
      </c>
      <c r="D7" s="7" t="s">
        <v>85</v>
      </c>
    </row>
    <row r="8" spans="1:4" ht="28.8" x14ac:dyDescent="0.3">
      <c r="A8" s="11" t="s">
        <v>58</v>
      </c>
      <c r="B8" s="7" t="s">
        <v>86</v>
      </c>
      <c r="C8" s="7" t="s">
        <v>86</v>
      </c>
      <c r="D8" s="7" t="s">
        <v>85</v>
      </c>
    </row>
    <row r="9" spans="1:4" x14ac:dyDescent="0.3">
      <c r="A9" s="11" t="s">
        <v>67</v>
      </c>
      <c r="B9" s="7" t="s">
        <v>85</v>
      </c>
      <c r="C9" s="7" t="s">
        <v>85</v>
      </c>
      <c r="D9" s="7" t="s">
        <v>85</v>
      </c>
    </row>
    <row r="10" spans="1:4" x14ac:dyDescent="0.3">
      <c r="A10" s="11" t="s">
        <v>70</v>
      </c>
      <c r="B10" s="7" t="s">
        <v>85</v>
      </c>
      <c r="C10" s="7" t="s">
        <v>85</v>
      </c>
      <c r="D10" s="7" t="s">
        <v>85</v>
      </c>
    </row>
    <row r="11" spans="1:4" x14ac:dyDescent="0.3">
      <c r="A11" s="11" t="s">
        <v>35</v>
      </c>
      <c r="B11" s="7" t="s">
        <v>86</v>
      </c>
      <c r="C11" s="7" t="s">
        <v>83</v>
      </c>
      <c r="D11" s="7" t="s">
        <v>86</v>
      </c>
    </row>
    <row r="12" spans="1:4" ht="28.8" x14ac:dyDescent="0.3">
      <c r="A12" s="11" t="s">
        <v>38</v>
      </c>
      <c r="B12" s="7" t="s">
        <v>86</v>
      </c>
      <c r="C12" s="7" t="s">
        <v>86</v>
      </c>
      <c r="D12" s="7" t="s">
        <v>86</v>
      </c>
    </row>
    <row r="13" spans="1:4" x14ac:dyDescent="0.3">
      <c r="A13" s="11" t="s">
        <v>40</v>
      </c>
      <c r="B13" s="7" t="s">
        <v>86</v>
      </c>
      <c r="C13" s="7" t="s">
        <v>86</v>
      </c>
      <c r="D13" s="7" t="s">
        <v>86</v>
      </c>
    </row>
    <row r="14" spans="1:4" x14ac:dyDescent="0.3">
      <c r="A14" s="11" t="s">
        <v>42</v>
      </c>
      <c r="B14" s="7" t="s">
        <v>83</v>
      </c>
      <c r="C14" s="7" t="s">
        <v>83</v>
      </c>
      <c r="D14" s="7" t="s">
        <v>86</v>
      </c>
    </row>
    <row r="15" spans="1:4" x14ac:dyDescent="0.3">
      <c r="A15" s="11" t="s">
        <v>44</v>
      </c>
      <c r="B15" s="7" t="s">
        <v>86</v>
      </c>
      <c r="C15" s="7" t="s">
        <v>86</v>
      </c>
      <c r="D15" s="7" t="s">
        <v>86</v>
      </c>
    </row>
    <row r="16" spans="1:4" ht="28.8" x14ac:dyDescent="0.3">
      <c r="A16" s="11" t="s">
        <v>45</v>
      </c>
      <c r="B16" s="7" t="s">
        <v>85</v>
      </c>
      <c r="C16" s="7" t="s">
        <v>86</v>
      </c>
      <c r="D16" s="7" t="s">
        <v>86</v>
      </c>
    </row>
    <row r="17" spans="1:4" x14ac:dyDescent="0.3">
      <c r="A17" s="11" t="s">
        <v>50</v>
      </c>
      <c r="B17" s="7" t="s">
        <v>83</v>
      </c>
      <c r="C17" s="7" t="s">
        <v>83</v>
      </c>
      <c r="D17" s="7" t="s">
        <v>86</v>
      </c>
    </row>
    <row r="18" spans="1:4" x14ac:dyDescent="0.3">
      <c r="A18" s="11" t="s">
        <v>56</v>
      </c>
      <c r="B18" s="7" t="s">
        <v>83</v>
      </c>
      <c r="C18" s="7" t="s">
        <v>86</v>
      </c>
      <c r="D18" s="7" t="s">
        <v>86</v>
      </c>
    </row>
    <row r="19" spans="1:4" x14ac:dyDescent="0.3">
      <c r="A19" s="11" t="s">
        <v>29</v>
      </c>
      <c r="B19" s="7" t="s">
        <v>84</v>
      </c>
      <c r="C19" s="7" t="s">
        <v>84</v>
      </c>
      <c r="D19" s="7" t="s">
        <v>84</v>
      </c>
    </row>
    <row r="20" spans="1:4" x14ac:dyDescent="0.3">
      <c r="A20" s="11" t="s">
        <v>30</v>
      </c>
      <c r="B20" s="7" t="s">
        <v>84</v>
      </c>
      <c r="C20" s="7" t="s">
        <v>84</v>
      </c>
      <c r="D20" s="7" t="s">
        <v>84</v>
      </c>
    </row>
    <row r="21" spans="1:4" ht="28.8" x14ac:dyDescent="0.3">
      <c r="A21" s="11" t="s">
        <v>31</v>
      </c>
      <c r="B21" s="7" t="s">
        <v>85</v>
      </c>
      <c r="C21" s="7" t="s">
        <v>84</v>
      </c>
      <c r="D21" s="7" t="s">
        <v>84</v>
      </c>
    </row>
    <row r="22" spans="1:4" x14ac:dyDescent="0.3">
      <c r="A22" s="11" t="s">
        <v>33</v>
      </c>
      <c r="B22" s="7" t="s">
        <v>84</v>
      </c>
      <c r="C22" s="7" t="s">
        <v>83</v>
      </c>
      <c r="D22" s="7" t="s">
        <v>84</v>
      </c>
    </row>
    <row r="23" spans="1:4" x14ac:dyDescent="0.3">
      <c r="A23" s="11" t="s">
        <v>34</v>
      </c>
      <c r="B23" s="7" t="s">
        <v>84</v>
      </c>
      <c r="C23" s="7" t="s">
        <v>84</v>
      </c>
      <c r="D23" s="7" t="s">
        <v>84</v>
      </c>
    </row>
    <row r="24" spans="1:4" x14ac:dyDescent="0.3">
      <c r="A24" s="11" t="s">
        <v>37</v>
      </c>
      <c r="B24" s="7" t="s">
        <v>83</v>
      </c>
      <c r="C24" s="7" t="s">
        <v>84</v>
      </c>
      <c r="D24" s="7" t="s">
        <v>84</v>
      </c>
    </row>
    <row r="25" spans="1:4" x14ac:dyDescent="0.3">
      <c r="A25" s="11" t="s">
        <v>51</v>
      </c>
      <c r="B25" s="7" t="s">
        <v>84</v>
      </c>
      <c r="C25" s="7" t="s">
        <v>83</v>
      </c>
      <c r="D25" s="7" t="s">
        <v>84</v>
      </c>
    </row>
    <row r="26" spans="1:4" x14ac:dyDescent="0.3">
      <c r="A26" s="11" t="s">
        <v>59</v>
      </c>
      <c r="B26" s="7" t="s">
        <v>84</v>
      </c>
      <c r="C26" s="7" t="s">
        <v>84</v>
      </c>
      <c r="D26" s="7" t="s">
        <v>84</v>
      </c>
    </row>
    <row r="27" spans="1:4" ht="28.8" x14ac:dyDescent="0.3">
      <c r="A27" s="11" t="s">
        <v>61</v>
      </c>
      <c r="B27" s="7" t="s">
        <v>83</v>
      </c>
      <c r="C27" s="7" t="s">
        <v>83</v>
      </c>
      <c r="D27" s="7" t="s">
        <v>84</v>
      </c>
    </row>
    <row r="28" spans="1:4" x14ac:dyDescent="0.3">
      <c r="A28" s="11" t="s">
        <v>66</v>
      </c>
      <c r="B28" s="7" t="s">
        <v>84</v>
      </c>
      <c r="C28" s="7" t="s">
        <v>85</v>
      </c>
      <c r="D28" s="7" t="s">
        <v>84</v>
      </c>
    </row>
    <row r="29" spans="1:4" x14ac:dyDescent="0.3">
      <c r="A29" s="11" t="s">
        <v>68</v>
      </c>
      <c r="B29" s="7" t="s">
        <v>84</v>
      </c>
      <c r="C29" s="7" t="s">
        <v>84</v>
      </c>
      <c r="D29" s="7" t="s">
        <v>84</v>
      </c>
    </row>
    <row r="30" spans="1:4" ht="28.8" x14ac:dyDescent="0.3">
      <c r="A30" s="11" t="s">
        <v>69</v>
      </c>
      <c r="B30" s="7" t="s">
        <v>84</v>
      </c>
      <c r="C30" s="7" t="s">
        <v>84</v>
      </c>
      <c r="D30" s="7" t="s">
        <v>84</v>
      </c>
    </row>
    <row r="31" spans="1:4" ht="28.8" x14ac:dyDescent="0.3">
      <c r="A31" s="11" t="s">
        <v>71</v>
      </c>
      <c r="B31" s="7" t="s">
        <v>84</v>
      </c>
      <c r="C31" s="7" t="s">
        <v>84</v>
      </c>
      <c r="D31" s="7" t="s">
        <v>84</v>
      </c>
    </row>
    <row r="32" spans="1:4" x14ac:dyDescent="0.3">
      <c r="A32" s="11" t="s">
        <v>72</v>
      </c>
      <c r="B32" s="7" t="s">
        <v>84</v>
      </c>
      <c r="C32" s="7" t="s">
        <v>84</v>
      </c>
      <c r="D32" s="7" t="s">
        <v>84</v>
      </c>
    </row>
    <row r="33" spans="1:4" x14ac:dyDescent="0.3">
      <c r="A33" s="11" t="s">
        <v>73</v>
      </c>
      <c r="B33" s="7" t="s">
        <v>84</v>
      </c>
      <c r="C33" s="7" t="s">
        <v>84</v>
      </c>
      <c r="D33" s="7" t="s">
        <v>84</v>
      </c>
    </row>
    <row r="34" spans="1:4" x14ac:dyDescent="0.3">
      <c r="A34" s="11" t="s">
        <v>74</v>
      </c>
      <c r="B34" s="7" t="s">
        <v>83</v>
      </c>
      <c r="C34" s="7" t="s">
        <v>84</v>
      </c>
      <c r="D34" s="7" t="s">
        <v>84</v>
      </c>
    </row>
    <row r="35" spans="1:4" x14ac:dyDescent="0.3">
      <c r="A35" s="11" t="s">
        <v>75</v>
      </c>
      <c r="B35" s="7" t="s">
        <v>84</v>
      </c>
      <c r="C35" s="7" t="s">
        <v>84</v>
      </c>
      <c r="D35" s="7" t="s">
        <v>84</v>
      </c>
    </row>
    <row r="36" spans="1:4" ht="57.6" x14ac:dyDescent="0.3">
      <c r="A36" s="11" t="s">
        <v>76</v>
      </c>
      <c r="B36" s="7" t="s">
        <v>84</v>
      </c>
      <c r="C36" s="7" t="s">
        <v>84</v>
      </c>
      <c r="D36" s="7" t="s">
        <v>84</v>
      </c>
    </row>
    <row r="37" spans="1:4" ht="28.8" x14ac:dyDescent="0.3">
      <c r="A37" s="11" t="s">
        <v>36</v>
      </c>
      <c r="B37" s="7" t="s">
        <v>83</v>
      </c>
      <c r="C37" s="7" t="s">
        <v>83</v>
      </c>
      <c r="D37" s="7" t="s">
        <v>83</v>
      </c>
    </row>
    <row r="38" spans="1:4" ht="28.8" x14ac:dyDescent="0.3">
      <c r="A38" s="11" t="s">
        <v>41</v>
      </c>
      <c r="B38" s="7" t="s">
        <v>83</v>
      </c>
      <c r="C38" s="7" t="s">
        <v>83</v>
      </c>
      <c r="D38" s="7" t="s">
        <v>83</v>
      </c>
    </row>
    <row r="39" spans="1:4" x14ac:dyDescent="0.3">
      <c r="A39" s="11" t="s">
        <v>43</v>
      </c>
      <c r="B39" s="7" t="s">
        <v>83</v>
      </c>
      <c r="C39" s="7" t="s">
        <v>83</v>
      </c>
      <c r="D39" s="7" t="s">
        <v>83</v>
      </c>
    </row>
    <row r="40" spans="1:4" x14ac:dyDescent="0.3">
      <c r="A40" s="11" t="s">
        <v>46</v>
      </c>
      <c r="B40" s="7" t="s">
        <v>83</v>
      </c>
      <c r="C40" s="7" t="s">
        <v>86</v>
      </c>
      <c r="D40" s="7" t="s">
        <v>83</v>
      </c>
    </row>
    <row r="41" spans="1:4" ht="28.8" x14ac:dyDescent="0.3">
      <c r="A41" s="11" t="s">
        <v>47</v>
      </c>
      <c r="B41" s="7" t="s">
        <v>83</v>
      </c>
      <c r="C41" s="7" t="s">
        <v>83</v>
      </c>
      <c r="D41" s="7" t="s">
        <v>83</v>
      </c>
    </row>
    <row r="42" spans="1:4" x14ac:dyDescent="0.3">
      <c r="A42" s="11" t="s">
        <v>48</v>
      </c>
      <c r="B42" s="7" t="s">
        <v>83</v>
      </c>
      <c r="C42" s="7" t="s">
        <v>83</v>
      </c>
      <c r="D42" s="7" t="s">
        <v>83</v>
      </c>
    </row>
    <row r="43" spans="1:4" x14ac:dyDescent="0.3">
      <c r="A43" s="11" t="s">
        <v>49</v>
      </c>
      <c r="B43" s="7" t="s">
        <v>83</v>
      </c>
      <c r="C43" s="7" t="s">
        <v>83</v>
      </c>
      <c r="D43" s="7" t="s">
        <v>83</v>
      </c>
    </row>
    <row r="44" spans="1:4" ht="28.8" x14ac:dyDescent="0.3">
      <c r="A44" s="11" t="s">
        <v>52</v>
      </c>
      <c r="B44" s="7" t="s">
        <v>83</v>
      </c>
      <c r="C44" s="7" t="s">
        <v>83</v>
      </c>
      <c r="D44" s="7" t="s">
        <v>83</v>
      </c>
    </row>
    <row r="45" spans="1:4" ht="28.8" x14ac:dyDescent="0.3">
      <c r="A45" s="11" t="s">
        <v>53</v>
      </c>
      <c r="B45" s="7" t="s">
        <v>83</v>
      </c>
      <c r="C45" s="7" t="s">
        <v>83</v>
      </c>
      <c r="D45" s="7" t="s">
        <v>83</v>
      </c>
    </row>
    <row r="46" spans="1:4" ht="28.8" x14ac:dyDescent="0.3">
      <c r="A46" s="11" t="s">
        <v>55</v>
      </c>
      <c r="B46" s="7" t="s">
        <v>83</v>
      </c>
      <c r="C46" s="7" t="s">
        <v>83</v>
      </c>
      <c r="D46" s="7" t="s">
        <v>83</v>
      </c>
    </row>
    <row r="47" spans="1:4" x14ac:dyDescent="0.3">
      <c r="A47" s="11" t="s">
        <v>60</v>
      </c>
      <c r="B47" s="7" t="s">
        <v>83</v>
      </c>
      <c r="C47" s="7" t="s">
        <v>83</v>
      </c>
      <c r="D47" s="7" t="s">
        <v>83</v>
      </c>
    </row>
    <row r="48" spans="1:4" x14ac:dyDescent="0.3">
      <c r="A48" s="11" t="s">
        <v>62</v>
      </c>
      <c r="B48" s="7" t="s">
        <v>84</v>
      </c>
      <c r="C48" s="7" t="s">
        <v>84</v>
      </c>
      <c r="D48" s="7" t="s">
        <v>83</v>
      </c>
    </row>
    <row r="49" spans="1:4" ht="28.8" x14ac:dyDescent="0.3">
      <c r="A49" s="11" t="s">
        <v>63</v>
      </c>
      <c r="B49" s="7" t="s">
        <v>83</v>
      </c>
      <c r="C49" s="7" t="s">
        <v>83</v>
      </c>
      <c r="D49" s="7" t="s">
        <v>83</v>
      </c>
    </row>
    <row r="50" spans="1:4" ht="28.8" x14ac:dyDescent="0.3">
      <c r="A50" s="11" t="s">
        <v>64</v>
      </c>
      <c r="B50" s="7" t="s">
        <v>83</v>
      </c>
      <c r="C50" s="7" t="s">
        <v>83</v>
      </c>
      <c r="D50" s="7" t="s">
        <v>83</v>
      </c>
    </row>
    <row r="51" spans="1:4" x14ac:dyDescent="0.3">
      <c r="A51" s="11" t="s">
        <v>65</v>
      </c>
      <c r="B51" s="7" t="s">
        <v>86</v>
      </c>
      <c r="C51" s="7" t="s">
        <v>83</v>
      </c>
      <c r="D51" s="7" t="s">
        <v>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MasterData</vt:lpstr>
      <vt:lpstr>Sheet6</vt:lpstr>
      <vt:lpstr>Forward Linkage</vt:lpstr>
      <vt:lpstr>Backward Linkage</vt:lpstr>
      <vt:lpstr>Sheet10</vt:lpstr>
      <vt:lpstr>Sheet2</vt:lpstr>
      <vt:lpstr>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ALOK</dc:creator>
  <cp:lastModifiedBy>PRANAV ALOK</cp:lastModifiedBy>
  <dcterms:created xsi:type="dcterms:W3CDTF">2026-02-22T06:52:37Z</dcterms:created>
  <dcterms:modified xsi:type="dcterms:W3CDTF">2026-02-28T16:56:38Z</dcterms:modified>
</cp:coreProperties>
</file>